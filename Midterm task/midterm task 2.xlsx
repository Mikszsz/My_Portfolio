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Jocel Palma\Downloads\"/>
    </mc:Choice>
  </mc:AlternateContent>
  <xr:revisionPtr revIDLastSave="0" documentId="8_{5987DE27-EC0F-4289-9B24-F1DFA6E87664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Data_Analysis" sheetId="11" r:id="rId1"/>
    <sheet name="Challenge_Activity_Profit" sheetId="13" r:id="rId2"/>
    <sheet name="fact_sales" sheetId="4" r:id="rId3"/>
    <sheet name="dim_customer" sheetId="5" r:id="rId4"/>
    <sheet name="dim_product" sheetId="6" r:id="rId5"/>
    <sheet name="dim_location" sheetId="7" r:id="rId6"/>
    <sheet name="dim_date" sheetId="8" r:id="rId7"/>
    <sheet name="Cleaned Data" sheetId="3" r:id="rId8"/>
    <sheet name="Cleaned Data (2)" sheetId="9" r:id="rId9"/>
    <sheet name="Uncleaned Data" sheetId="1" r:id="rId10"/>
  </sheets>
  <definedNames>
    <definedName name="_xlnm._FilterDatabase" localSheetId="7" hidden="1">'Cleaned Data'!$H$1:$H$90</definedName>
    <definedName name="_xlnm._FilterDatabase" localSheetId="8" hidden="1">'Cleaned Data (2)'!$H$1:$H$90</definedName>
    <definedName name="_xlcn.WorksheetConnection_2STCopyofBike_Sales_Prepare_Lab_3.4.7.xlsxdim_customer1" hidden="1">dim_customer[]</definedName>
    <definedName name="_xlcn.WorksheetConnection_2STCopyofBike_Sales_Prepare_Lab_3.4.7.xlsxdim_date1" hidden="1">dim_date[]</definedName>
    <definedName name="_xlcn.WorksheetConnection_2STCopyofBike_Sales_Prepare_Lab_3.4.7.xlsxdim_location1" hidden="1">dim_location[]</definedName>
    <definedName name="_xlcn.WorksheetConnection_2STCopyofBike_Sales_Prepare_Lab_3.4.7.xlsxdim_product1" hidden="1">dim_product[]</definedName>
    <definedName name="_xlcn.WorksheetConnection_2STCopyofBike_Sales_Prepare_Lab_3.4.7.xlsxfact_sales1" hidden="1">fact_sales[]</definedName>
    <definedName name="_xlcn.WorksheetConnection_fact_salesAL1" hidden="1">fact_sales!$A:$L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fact_sales!$A:$L"/>
          <x15:modelTable id="fact_sales" name="fact_sales" connection="WorksheetConnection_2ST Copy of Bike_Sales_Prepare_Lab_3.4.7.xlsx!fact_sales"/>
          <x15:modelTable id="dim_product" name="dim_product" connection="WorksheetConnection_2ST Copy of Bike_Sales_Prepare_Lab_3.4.7.xlsx!dim_product"/>
          <x15:modelTable id="dim_location" name="dim_location" connection="WorksheetConnection_2ST Copy of Bike_Sales_Prepare_Lab_3.4.7.xlsx!dim_location"/>
          <x15:modelTable id="dim_date" name="dim_date" connection="WorksheetConnection_2ST Copy of Bike_Sales_Prepare_Lab_3.4.7.xlsx!dim_date"/>
          <x15:modelTable id="dim_customer" name="dim_customer" connection="WorksheetConnection_2ST Copy of Bike_Sales_Prepare_Lab_3.4.7.xlsx!dim_customer"/>
        </x15:modelTables>
        <x15:modelRelationships>
          <x15:modelRelationship fromTable="fact_sales" fromColumn="Customer_id" toTable="dim_customer" toColumn="Customer_id"/>
          <x15:modelRelationship fromTable="fact_sales" fromColumn="Product_id" toTable="dim_product" toColumn="Product_id"/>
          <x15:modelRelationship fromTable="fact_sales" fromColumn="Location_id" toTable="dim_location" toColumn="Location_id"/>
          <x15:modelRelationship fromTable="fact_sales" fromColumn="Date_id" toTable="dim_date" toColumn="D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9" l="1"/>
  <c r="T89" i="9"/>
  <c r="U88" i="9"/>
  <c r="T88" i="9"/>
  <c r="U87" i="9"/>
  <c r="T87" i="9"/>
  <c r="U86" i="9"/>
  <c r="T86" i="9"/>
  <c r="U85" i="9"/>
  <c r="T85" i="9"/>
  <c r="U84" i="9"/>
  <c r="T84" i="9"/>
  <c r="U83" i="9"/>
  <c r="T83" i="9"/>
  <c r="U82" i="9"/>
  <c r="T82" i="9"/>
  <c r="U81" i="9"/>
  <c r="T81" i="9"/>
  <c r="U80" i="9"/>
  <c r="T80" i="9"/>
  <c r="U79" i="9"/>
  <c r="T79" i="9"/>
  <c r="U78" i="9"/>
  <c r="T78" i="9"/>
  <c r="U77" i="9"/>
  <c r="T77" i="9"/>
  <c r="U76" i="9"/>
  <c r="T76" i="9"/>
  <c r="U75" i="9"/>
  <c r="T75" i="9"/>
  <c r="U74" i="9"/>
  <c r="T74" i="9"/>
  <c r="U73" i="9"/>
  <c r="T73" i="9"/>
  <c r="U72" i="9"/>
  <c r="T72" i="9"/>
  <c r="U71" i="9"/>
  <c r="T71" i="9"/>
  <c r="U70" i="9"/>
  <c r="T70" i="9"/>
  <c r="U69" i="9"/>
  <c r="T69" i="9"/>
  <c r="U68" i="9"/>
  <c r="T68" i="9"/>
  <c r="U67" i="9"/>
  <c r="T67" i="9"/>
  <c r="U66" i="9"/>
  <c r="T66" i="9"/>
  <c r="U65" i="9"/>
  <c r="T65" i="9"/>
  <c r="U64" i="9"/>
  <c r="T64" i="9"/>
  <c r="U63" i="9"/>
  <c r="T63" i="9"/>
  <c r="U62" i="9"/>
  <c r="T62" i="9"/>
  <c r="U61" i="9"/>
  <c r="T61" i="9"/>
  <c r="U60" i="9"/>
  <c r="T60" i="9"/>
  <c r="U59" i="9"/>
  <c r="T59" i="9"/>
  <c r="U58" i="9"/>
  <c r="T58" i="9"/>
  <c r="U57" i="9"/>
  <c r="T57" i="9"/>
  <c r="U56" i="9"/>
  <c r="T56" i="9"/>
  <c r="U55" i="9"/>
  <c r="T55" i="9"/>
  <c r="U54" i="9"/>
  <c r="T54" i="9"/>
  <c r="U53" i="9"/>
  <c r="T53" i="9"/>
  <c r="U52" i="9"/>
  <c r="T52" i="9"/>
  <c r="U51" i="9"/>
  <c r="T51" i="9"/>
  <c r="U50" i="9"/>
  <c r="T50" i="9"/>
  <c r="U49" i="9"/>
  <c r="T49" i="9"/>
  <c r="U48" i="9"/>
  <c r="T48" i="9"/>
  <c r="U47" i="9"/>
  <c r="T47" i="9"/>
  <c r="U46" i="9"/>
  <c r="T46" i="9"/>
  <c r="U45" i="9"/>
  <c r="T45" i="9"/>
  <c r="U44" i="9"/>
  <c r="T44" i="9"/>
  <c r="U43" i="9"/>
  <c r="T43" i="9"/>
  <c r="U42" i="9"/>
  <c r="T42" i="9"/>
  <c r="U41" i="9"/>
  <c r="T41" i="9"/>
  <c r="U40" i="9"/>
  <c r="T40" i="9"/>
  <c r="U39" i="9"/>
  <c r="T39" i="9"/>
  <c r="U38" i="9"/>
  <c r="T38" i="9"/>
  <c r="U37" i="9"/>
  <c r="T37" i="9"/>
  <c r="U36" i="9"/>
  <c r="T36" i="9"/>
  <c r="U35" i="9"/>
  <c r="T35" i="9"/>
  <c r="U34" i="9"/>
  <c r="T34" i="9"/>
  <c r="U33" i="9"/>
  <c r="T33" i="9"/>
  <c r="U32" i="9"/>
  <c r="T32" i="9"/>
  <c r="U31" i="9"/>
  <c r="T31" i="9"/>
  <c r="U30" i="9"/>
  <c r="T30" i="9"/>
  <c r="U29" i="9"/>
  <c r="T29" i="9"/>
  <c r="U28" i="9"/>
  <c r="T28" i="9"/>
  <c r="U27" i="9"/>
  <c r="T27" i="9"/>
  <c r="U26" i="9"/>
  <c r="T26" i="9"/>
  <c r="U25" i="9"/>
  <c r="T25" i="9"/>
  <c r="U24" i="9"/>
  <c r="T24" i="9"/>
  <c r="U23" i="9"/>
  <c r="T23" i="9"/>
  <c r="U22" i="9"/>
  <c r="T22" i="9"/>
  <c r="U21" i="9"/>
  <c r="T21" i="9"/>
  <c r="U20" i="9"/>
  <c r="T20" i="9"/>
  <c r="U19" i="9"/>
  <c r="T19" i="9"/>
  <c r="U18" i="9"/>
  <c r="T18" i="9"/>
  <c r="U17" i="9"/>
  <c r="T17" i="9"/>
  <c r="U16" i="9"/>
  <c r="T16" i="9"/>
  <c r="U15" i="9"/>
  <c r="T15" i="9"/>
  <c r="U14" i="9"/>
  <c r="T14" i="9"/>
  <c r="U13" i="9"/>
  <c r="T13" i="9"/>
  <c r="U12" i="9"/>
  <c r="T12" i="9"/>
  <c r="U11" i="9"/>
  <c r="T11" i="9"/>
  <c r="U10" i="9"/>
  <c r="T10" i="9"/>
  <c r="U9" i="9"/>
  <c r="T9" i="9"/>
  <c r="U8" i="9"/>
  <c r="T8" i="9"/>
  <c r="U7" i="9"/>
  <c r="T7" i="9"/>
  <c r="U6" i="9"/>
  <c r="T6" i="9"/>
  <c r="U5" i="9"/>
  <c r="T5" i="9"/>
  <c r="U4" i="9"/>
  <c r="T4" i="9"/>
  <c r="U3" i="9"/>
  <c r="T3" i="9"/>
  <c r="U2" i="9"/>
  <c r="T2" i="9"/>
  <c r="D2" i="4"/>
  <c r="A2" i="5"/>
  <c r="A2" i="6"/>
  <c r="A3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2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2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3" i="4"/>
  <c r="K3" i="4"/>
  <c r="L2" i="4"/>
  <c r="K2" i="4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3" i="8"/>
  <c r="C4" i="8"/>
  <c r="C5" i="8"/>
  <c r="C6" i="8"/>
  <c r="E2" i="8"/>
  <c r="D2" i="8"/>
  <c r="C2" i="8"/>
  <c r="R9" i="1"/>
  <c r="S9" i="1"/>
  <c r="U89" i="3"/>
  <c r="T89" i="3"/>
  <c r="U88" i="3"/>
  <c r="T88" i="3"/>
  <c r="U87" i="3"/>
  <c r="T87" i="3"/>
  <c r="U86" i="3"/>
  <c r="T86" i="3"/>
  <c r="U85" i="3"/>
  <c r="T85" i="3"/>
  <c r="U84" i="3"/>
  <c r="T84" i="3"/>
  <c r="U83" i="3"/>
  <c r="T83" i="3"/>
  <c r="U82" i="3"/>
  <c r="T82" i="3"/>
  <c r="U81" i="3"/>
  <c r="T81" i="3"/>
  <c r="U80" i="3"/>
  <c r="T80" i="3"/>
  <c r="U79" i="3"/>
  <c r="T79" i="3"/>
  <c r="U78" i="3"/>
  <c r="T78" i="3"/>
  <c r="U77" i="3"/>
  <c r="T77" i="3"/>
  <c r="U76" i="3"/>
  <c r="T76" i="3"/>
  <c r="U75" i="3"/>
  <c r="T75" i="3"/>
  <c r="U74" i="3"/>
  <c r="T74" i="3"/>
  <c r="U73" i="3"/>
  <c r="T73" i="3"/>
  <c r="U72" i="3"/>
  <c r="T72" i="3"/>
  <c r="U71" i="3"/>
  <c r="T71" i="3"/>
  <c r="U70" i="3"/>
  <c r="T70" i="3"/>
  <c r="U69" i="3"/>
  <c r="T69" i="3"/>
  <c r="U68" i="3"/>
  <c r="T68" i="3"/>
  <c r="U67" i="3"/>
  <c r="T67" i="3"/>
  <c r="U66" i="3"/>
  <c r="T66" i="3"/>
  <c r="U65" i="3"/>
  <c r="T65" i="3"/>
  <c r="U64" i="3"/>
  <c r="T64" i="3"/>
  <c r="U63" i="3"/>
  <c r="T63" i="3"/>
  <c r="U62" i="3"/>
  <c r="T62" i="3"/>
  <c r="U61" i="3"/>
  <c r="T61" i="3"/>
  <c r="U60" i="3"/>
  <c r="T60" i="3"/>
  <c r="U59" i="3"/>
  <c r="T59" i="3"/>
  <c r="U58" i="3"/>
  <c r="T58" i="3"/>
  <c r="U57" i="3"/>
  <c r="T57" i="3"/>
  <c r="U56" i="3"/>
  <c r="T56" i="3"/>
  <c r="U55" i="3"/>
  <c r="T55" i="3"/>
  <c r="U54" i="3"/>
  <c r="T54" i="3"/>
  <c r="U53" i="3"/>
  <c r="T53" i="3"/>
  <c r="U52" i="3"/>
  <c r="T52" i="3"/>
  <c r="U51" i="3"/>
  <c r="T51" i="3"/>
  <c r="U50" i="3"/>
  <c r="T50" i="3"/>
  <c r="U49" i="3"/>
  <c r="T49" i="3"/>
  <c r="U48" i="3"/>
  <c r="T48" i="3"/>
  <c r="U47" i="3"/>
  <c r="T47" i="3"/>
  <c r="U46" i="3"/>
  <c r="T46" i="3"/>
  <c r="U45" i="3"/>
  <c r="T45" i="3"/>
  <c r="U44" i="3"/>
  <c r="T44" i="3"/>
  <c r="U43" i="3"/>
  <c r="T43" i="3"/>
  <c r="U42" i="3"/>
  <c r="T42" i="3"/>
  <c r="U41" i="3"/>
  <c r="T41" i="3"/>
  <c r="U40" i="3"/>
  <c r="T40" i="3"/>
  <c r="U39" i="3"/>
  <c r="T39" i="3"/>
  <c r="U38" i="3"/>
  <c r="T38" i="3"/>
  <c r="U37" i="3"/>
  <c r="T37" i="3"/>
  <c r="U36" i="3"/>
  <c r="T36" i="3"/>
  <c r="U35" i="3"/>
  <c r="T35" i="3"/>
  <c r="U34" i="3"/>
  <c r="T34" i="3"/>
  <c r="U33" i="3"/>
  <c r="T33" i="3"/>
  <c r="U32" i="3"/>
  <c r="T32" i="3"/>
  <c r="U31" i="3"/>
  <c r="T31" i="3"/>
  <c r="U30" i="3"/>
  <c r="T30" i="3"/>
  <c r="U29" i="3"/>
  <c r="T29" i="3"/>
  <c r="U28" i="3"/>
  <c r="T28" i="3"/>
  <c r="U27" i="3"/>
  <c r="T27" i="3"/>
  <c r="U26" i="3"/>
  <c r="T26" i="3"/>
  <c r="U25" i="3"/>
  <c r="T25" i="3"/>
  <c r="U24" i="3"/>
  <c r="T24" i="3"/>
  <c r="U23" i="3"/>
  <c r="T23" i="3"/>
  <c r="U22" i="3"/>
  <c r="T22" i="3"/>
  <c r="U21" i="3"/>
  <c r="T21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U11" i="3"/>
  <c r="T11" i="3"/>
  <c r="U10" i="3"/>
  <c r="T10" i="3"/>
  <c r="U9" i="3"/>
  <c r="T9" i="3"/>
  <c r="U8" i="3"/>
  <c r="T8" i="3"/>
  <c r="U7" i="3"/>
  <c r="T7" i="3"/>
  <c r="U6" i="3"/>
  <c r="T6" i="3"/>
  <c r="U5" i="3"/>
  <c r="T5" i="3"/>
  <c r="U4" i="3"/>
  <c r="T4" i="3"/>
  <c r="U3" i="3"/>
  <c r="T3" i="3"/>
  <c r="U2" i="3"/>
  <c r="T2" i="3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D9B704-C92A-44DB-A633-213BB67776BA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2" xr16:uid="{E1DADAC6-3F9A-4485-B086-A0FD518F24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9702027-8485-4C6E-AB12-01E8DF37C8BA}" name="WorksheetConnection_2ST Copy of Bike_Sales_Prepare_Lab_3.4.7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2STCopyofBike_Sales_Prepare_Lab_3.4.7.xlsxdim_customer1"/>
        </x15:connection>
      </ext>
    </extLst>
  </connection>
  <connection id="4" xr16:uid="{26FB30D1-4C51-493B-A39A-2814E74DA02F}" name="WorksheetConnection_2ST Copy of Bike_Sales_Prepare_Lab_3.4.7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2STCopyofBike_Sales_Prepare_Lab_3.4.7.xlsxdim_date1"/>
        </x15:connection>
      </ext>
    </extLst>
  </connection>
  <connection id="5" xr16:uid="{665CF29A-C444-4C7F-9ED2-3D87BDB7893A}" name="WorksheetConnection_2ST Copy of Bike_Sales_Prepare_Lab_3.4.7.xlsx!dim_location" type="102" refreshedVersion="8" minRefreshableVersion="5">
    <extLst>
      <ext xmlns:x15="http://schemas.microsoft.com/office/spreadsheetml/2010/11/main" uri="{DE250136-89BD-433C-8126-D09CA5730AF9}">
        <x15:connection id="dim_location">
          <x15:rangePr sourceName="_xlcn.WorksheetConnection_2STCopyofBike_Sales_Prepare_Lab_3.4.7.xlsxdim_location1"/>
        </x15:connection>
      </ext>
    </extLst>
  </connection>
  <connection id="6" xr16:uid="{B53F3178-BA4C-4FFF-A49A-26AFDA110E62}" name="WorksheetConnection_2ST Copy of Bike_Sales_Prepare_Lab_3.4.7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2STCopyofBike_Sales_Prepare_Lab_3.4.7.xlsxdim_product1"/>
        </x15:connection>
      </ext>
    </extLst>
  </connection>
  <connection id="7" xr16:uid="{4A8AFB55-0E3F-40C1-8229-DADB5A1F12C5}" name="WorksheetConnection_2ST Copy of Bike_Sales_Prepare_Lab_3.4.7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2STCopyofBike_Sales_Prepare_Lab_3.4.7.xlsxfact_sales1"/>
        </x15:connection>
      </ext>
    </extLst>
  </connection>
  <connection id="8" xr16:uid="{D00C6EA3-DEF5-42AE-A4B7-AE7FCA658412}" name="WorksheetConnection_fact_sales!$A:$L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fact_salesAL1"/>
        </x15:connection>
      </ext>
    </extLst>
  </connection>
</connections>
</file>

<file path=xl/sharedStrings.xml><?xml version="1.0" encoding="utf-8"?>
<sst xmlns="http://schemas.openxmlformats.org/spreadsheetml/2006/main" count="3506" uniqueCount="186">
  <si>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</si>
  <si>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</si>
  <si>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</si>
  <si>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</si>
  <si>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</si>
  <si>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</si>
  <si>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</si>
  <si>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</si>
  <si>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</si>
  <si>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</si>
  <si>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</si>
  <si>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</si>
  <si>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</si>
  <si>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</si>
  <si>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</si>
  <si>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</si>
  <si>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</si>
  <si>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</si>
  <si>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</si>
  <si>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</si>
  <si>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</si>
  <si>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</si>
  <si>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</si>
  <si>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</si>
  <si>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</si>
  <si>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</si>
  <si>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</si>
  <si>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</si>
  <si>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</si>
  <si>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</si>
  <si>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</si>
  <si>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</si>
  <si>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</si>
  <si>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</si>
  <si>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</si>
  <si>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</si>
  <si>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</si>
  <si>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</si>
  <si>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</si>
  <si>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</si>
  <si>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</si>
  <si>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</si>
  <si>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</si>
  <si>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</si>
  <si>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</si>
  <si>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</si>
  <si>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</si>
  <si>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</si>
  <si>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</si>
  <si>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</si>
  <si>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</si>
  <si>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</si>
  <si>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</si>
  <si>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</si>
  <si>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</si>
  <si>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</si>
  <si>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</si>
  <si>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</si>
  <si>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</si>
  <si>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</si>
  <si>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</si>
  <si>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</si>
  <si>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</si>
  <si>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</si>
  <si>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</si>
  <si>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</si>
  <si>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</si>
  <si>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</si>
  <si>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</si>
  <si>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</si>
  <si>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</si>
  <si>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</si>
  <si>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</si>
  <si>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</si>
  <si>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</si>
  <si>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</si>
  <si>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</si>
  <si>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</si>
  <si>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</si>
  <si>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</si>
  <si>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</si>
  <si>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</si>
  <si>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</si>
  <si>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</si>
  <si>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</si>
  <si>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</si>
  <si>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</si>
  <si>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</si>
  <si>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</si>
  <si>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</si>
  <si>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</si>
  <si>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</si>
  <si>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</si>
  <si>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</si>
  <si>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</si>
  <si>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</si>
  <si>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</si>
  <si>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</si>
  <si>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</si>
  <si>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</si>
  <si>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</si>
  <si>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</si>
  <si>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</si>
  <si>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</si>
  <si>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</si>
  <si>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</si>
  <si>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</si>
  <si>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</si>
  <si>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</si>
  <si>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</si>
  <si>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</si>
  <si>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</si>
  <si>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</si>
  <si>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</si>
  <si>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</si>
  <si>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</si>
  <si>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</si>
  <si>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</si>
  <si>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</si>
  <si>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</si>
  <si>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</si>
  <si>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</si>
  <si>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</si>
  <si>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</si>
  <si>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</si>
  <si>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</si>
  <si>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</si>
  <si>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</si>
  <si>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</si>
  <si>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</si>
  <si>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</si>
  <si>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</si>
  <si>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</si>
  <si>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</si>
  <si>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</si>
  <si>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</si>
  <si>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</si>
  <si>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</si>
  <si>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</si>
  <si>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</si>
  <si>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</si>
  <si>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</si>
  <si>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</si>
  <si>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</si>
  <si>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</si>
  <si>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</si>
  <si>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</si>
  <si>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</si>
  <si>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</si>
  <si>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</si>
  <si>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</si>
  <si>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</si>
  <si>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</si>
  <si>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</si>
  <si>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</si>
  <si>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</si>
  <si>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</si>
  <si>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</si>
  <si>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</si>
  <si>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</si>
  <si>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</si>
  <si>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</si>
  <si>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</si>
  <si>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</si>
  <si>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</si>
  <si>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</si>
  <si>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</si>
  <si>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</si>
  <si>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</si>
  <si>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</si>
  <si>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</si>
  <si>
    <t>Product Category</t>
  </si>
  <si>
    <t>Subcategory</t>
  </si>
  <si>
    <t>Sub_Catergory</t>
  </si>
  <si>
    <t>Product_id</t>
  </si>
  <si>
    <t>Location_id</t>
  </si>
  <si>
    <t>Customer_id</t>
  </si>
  <si>
    <t>Date_id</t>
  </si>
  <si>
    <t>Unit_Cost</t>
  </si>
  <si>
    <t>Unit_Price</t>
  </si>
  <si>
    <t>Profit</t>
  </si>
  <si>
    <t>Cost</t>
  </si>
  <si>
    <t>Grand Total</t>
  </si>
  <si>
    <t>Sum of Order_Quantity</t>
  </si>
  <si>
    <t>Sum of Profit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</si>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</sst>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14" fontId="0" fillId="0" borderId="0" xfId="0" applyNumberFormat="1"/>
    <xf numFmtId="49" fontId="3" fillId="0" borderId="0" xfId="0" applyNumberFormat="1" applyFont="1" applyAlignment="1">
      <alignment horizontal="right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164" fontId="3" fillId="0" borderId="0" xfId="0" applyNumberFormat="1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right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0" borderId="0" xfId="0" applyFont="1"/>
    <xf numFmtId="0" fontId="9" fillId="0" borderId="0" xfId="0" applyFont="1"/>
    <xf numFmtId="0" fontId="0" fillId="0" borderId="0" xfId="0" applyAlignment="1">
      <alignment horizontal="left" indent="2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[MENDOZA_Midterm Task 2. Data Analysis using Pivot Table.xlsx]Data_Analysis!PivotTable8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Data_Analysis!$B$3:$B$4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6-4217-B79B-9F736395ABF4}"/>
            </c:ext>
          </c:extLst>
        </c:ser>
        <c:ser>
          <c:idx val="1"/>
          <c:order val="1"/>
          <c:tx>
            <c:strRef>
              <c:f>Data_Analysis!$C$3:$C$4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6-4217-B79B-9F736395ABF4}"/>
            </c:ext>
          </c:extLst>
        </c:ser>
        <c:ser>
          <c:idx val="2"/>
          <c:order val="2"/>
          <c:tx>
            <c:strRef>
              <c:f>Data_Analysis!$D$3:$D$4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6-4217-B79B-9F736395ABF4}"/>
            </c:ext>
          </c:extLst>
        </c:ser>
        <c:ser>
          <c:idx val="3"/>
          <c:order val="3"/>
          <c:tx>
            <c:strRef>
              <c:f>Data_Analysis!$E$3:$E$4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06-4217-B79B-9F736395ABF4}"/>
            </c:ext>
          </c:extLst>
        </c:ser>
        <c:ser>
          <c:idx val="4"/>
          <c:order val="4"/>
          <c:tx>
            <c:strRef>
              <c:f>Data_Analysis!$F$3:$F$4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Data_Analysis!$F$5:$F$14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06-4217-B79B-9F736395ABF4}"/>
            </c:ext>
          </c:extLst>
        </c:ser>
        <c:ser>
          <c:idx val="5"/>
          <c:order val="5"/>
          <c:tx>
            <c:strRef>
              <c:f>Data_Analysis!$G$3:$G$4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28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06-4217-B79B-9F736395A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604128"/>
        <c:axId val="1384612288"/>
      </c:barChart>
      <c:catAx>
        <c:axId val="138460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2288"/>
        <c:crosses val="autoZero"/>
        <c:auto val="1"/>
        <c:lblAlgn val="ctr"/>
        <c:lblOffset val="100"/>
        <c:noMultiLvlLbl val="0"/>
      </c:catAx>
      <c:valAx>
        <c:axId val="13846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0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5"/>
          <c:y val="0.89409667541557303"/>
          <c:w val="0.91666666666666652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[MENDOZA_Midterm Task 2. Data Analysis using Pivot Table.xlsx]Challenge_Activity_Profit!PivotTable9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Challenge_Activity_Profit!$B$2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Challenge_Activity_Profit!$A$3:$A$45</c:f>
              <c:multiLvlStrCache>
                <c:ptCount val="2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Female</c:v>
                  </c:pt>
                  <c:pt idx="23">
                    <c:v>Male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  <c:pt idx="6">
                    <c:v>Young Adults (25-34)</c:v>
                  </c:pt>
                  <c:pt idx="8">
                    <c:v>Youth (&lt;25)</c:v>
                  </c:pt>
                  <c:pt idx="10">
                    <c:v>Young Adults (25-34)</c:v>
                  </c:pt>
                  <c:pt idx="12">
                    <c:v>Adults (35-64)</c:v>
                  </c:pt>
                  <c:pt idx="14">
                    <c:v>Youth (&lt;25)</c:v>
                  </c:pt>
                  <c:pt idx="16">
                    <c:v>Young Adults (25-34)</c:v>
                  </c:pt>
                  <c:pt idx="18">
                    <c:v>Adults (35-64)</c:v>
                  </c:pt>
                  <c:pt idx="20">
                    <c:v>Young Adults (25-34)</c:v>
                  </c:pt>
                  <c:pt idx="22">
                    <c:v>Adults (35-64)</c:v>
                  </c:pt>
                </c:lvl>
                <c:lvl>
                  <c:pt idx="0">
                    <c:v>Australia</c:v>
                  </c:pt>
                  <c:pt idx="6">
                    <c:v>Canada</c:v>
                  </c:pt>
                  <c:pt idx="8">
                    <c:v>France</c:v>
                  </c:pt>
                  <c:pt idx="12">
                    <c:v>Germany</c:v>
                  </c:pt>
                  <c:pt idx="14">
                    <c:v>United Kingdom</c:v>
                  </c:pt>
                  <c:pt idx="20">
                    <c:v>United States</c:v>
                  </c:pt>
                </c:lvl>
              </c:multiLvlStrCache>
            </c:multiLvlStrRef>
          </c:cat>
          <c:val>
            <c:numRef>
              <c:f>Challenge_Activity_Profit!$B$3:$B$45</c:f>
              <c:numCache>
                <c:formatCode>General</c:formatCode>
                <c:ptCount val="24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  <c:pt idx="6">
                  <c:v>6302</c:v>
                </c:pt>
                <c:pt idx="7">
                  <c:v>2821</c:v>
                </c:pt>
                <c:pt idx="8">
                  <c:v>6291</c:v>
                </c:pt>
                <c:pt idx="9">
                  <c:v>4216</c:v>
                </c:pt>
                <c:pt idx="10">
                  <c:v>1054</c:v>
                </c:pt>
                <c:pt idx="11">
                  <c:v>9420</c:v>
                </c:pt>
                <c:pt idx="12">
                  <c:v>8410</c:v>
                </c:pt>
                <c:pt idx="13">
                  <c:v>5226</c:v>
                </c:pt>
                <c:pt idx="14">
                  <c:v>1043</c:v>
                </c:pt>
                <c:pt idx="15">
                  <c:v>1745</c:v>
                </c:pt>
                <c:pt idx="16">
                  <c:v>1047</c:v>
                </c:pt>
                <c:pt idx="17">
                  <c:v>1043</c:v>
                </c:pt>
                <c:pt idx="18">
                  <c:v>1043</c:v>
                </c:pt>
                <c:pt idx="19">
                  <c:v>3151</c:v>
                </c:pt>
                <c:pt idx="20">
                  <c:v>10952</c:v>
                </c:pt>
                <c:pt idx="21">
                  <c:v>2684</c:v>
                </c:pt>
                <c:pt idx="22">
                  <c:v>25484</c:v>
                </c:pt>
                <c:pt idx="23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6-4FDD-8A8F-76CA3D756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639168"/>
        <c:axId val="1384662688"/>
      </c:barChart>
      <c:catAx>
        <c:axId val="138463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62688"/>
        <c:crosses val="autoZero"/>
        <c:auto val="1"/>
        <c:lblAlgn val="ctr"/>
        <c:lblOffset val="100"/>
        <c:noMultiLvlLbl val="0"/>
      </c:catAx>
      <c:valAx>
        <c:axId val="13846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3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2</xdr:row>
      <xdr:rowOff>114300</xdr:rowOff>
    </xdr:from>
    <xdr:to>
      <xdr:col>15</xdr:col>
      <xdr:colOff>276225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AEE0B-A3B9-C11B-7896-6BD87CCC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114299</xdr:rowOff>
    </xdr:from>
    <xdr:to>
      <xdr:col>13</xdr:col>
      <xdr:colOff>373380</xdr:colOff>
      <xdr:row>26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74CB0-FEBC-AEA0-FFEE-7594EFFA0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k De Guzman" refreshedDate="46079.465219328704" backgroundQuery="1" createdVersion="8" refreshedVersion="8" minRefreshableVersion="3" recordCount="0" supportSubquery="1" supportAdvancedDrill="1" xr:uid="{07C5B618-0594-40B7-AB9D-6A767A8212F6}">
  <cacheSource type="external" connectionId="2"/>
  <cacheFields count="4">
    <cacheField name="[dim_location].[Country].[Country]" caption="Country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dim_customer].[Age_Group].[Age_Group]" caption="Age_Group" numFmtId="0" hierarchy="2" level="1">
      <sharedItems count="3">
        <s v="Adults (35-64)"/>
        <s v="Young Adults (25-34)"/>
        <s v="Youth (&lt;25)"/>
      </sharedItems>
    </cacheField>
    <cacheField name="[dim_customer].[Customer_Gender].[Customer_Gender]" caption="Customer_Gender" numFmtId="0" hierarchy="3" level="1">
      <sharedItems count="2">
        <s v="Female"/>
        <s v="Male"/>
      </sharedItems>
    </cacheField>
    <cacheField name="[Measures].[Sum of Order_Quantity]" caption="Sum of Order_Quantity" numFmtId="0" hierarchy="49" level="32767"/>
  </cacheFields>
  <cacheHierarchies count="5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Age]" caption="Customer_Age" attribute="1" defaultMemberUniqueName="[dim_customer].[Customer_Age].[All]" allUniqueName="[dim_customer].[Customer_Age].[All]" dimensionUniqueName="[dim_customer]" displayFolder="" count="0" memberValueDatatype="20" unbalanced="0"/>
    <cacheHierarchy uniqueName="[dim_customer].[Age_Group]" caption="Age_Group" attribute="1" defaultMemberUniqueName="[dim_customer].[Age_Group].[All]" allUniqueName="[dim_customer].[Age_Group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Customer_Gender]" caption="Customer_Gender" attribute="1" defaultMemberUniqueName="[dim_customer].[Customer_Gender].[All]" allUniqueName="[dim_customer].[Customer_Gend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date].[Date_id]" caption="Date_id" attribute="1" defaultMemberUniqueName="[dim_date].[Date_id].[All]" allUniqueName="[dim_date].[Date_id].[All]" dimensionUniqueName="[dim_date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location].[Location_id]" caption="Location_id" attribute="1" defaultMemberUniqueName="[dim_location].[Location_id].[All]" allUniqueName="[dim_location].[Location_id].[All]" dimensionUniqueName="[dim_location]" displayFolder="" count="0" memberValueDatatype="130" unbalanced="0"/>
    <cacheHierarchy uniqueName="[dim_location].[Country]" caption="Country" attribute="1" defaultMemberUniqueName="[dim_location].[Country].[All]" allUniqueName="[dim_location].[Country].[All]" dimensionUniqueName="[dim_location]" displayFolder="" count="2" memberValueDatatype="130" unbalanced="0">
      <fieldsUsage count="2">
        <fieldUsage x="-1"/>
        <fieldUsage x="0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Category]" caption="Product_Category" attribute="1" defaultMemberUniqueName="[dim_product].[Product_Category].[All]" allUniqueName="[dim_product].[Product_Category].[All]" dimensionUniqueName="[dim_product]" displayFolder="" count="0" memberValueDatatype="130" unbalanced="0"/>
    <cacheHierarchy uniqueName="[dim_product].[Sub_Catergory]" caption="Sub_Catergory" attribute="1" defaultMemberUniqueName="[dim_product].[Sub_Catergory].[All]" allUniqueName="[dim_product].[Sub_Catergory].[All]" dimensionUniqueName="[dim_product]" displayFolder="" count="0" memberValueDatatype="130" unbalanced="0"/>
    <cacheHierarchy uniqueName="[dim_product].[Model]" caption="Model" attribute="1" defaultMemberUniqueName="[dim_product].[Model].[All]" allUniqueName="[dim_product].[Model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20" unbalanced="0"/>
    <cacheHierarchy uniqueName="[fact_sales].[Sales_Order #]" caption="Sales_Order #" attribute="1" defaultMemberUniqueName="[fact_sales].[Sales_Order #].[All]" allUniqueName="[fact_sales].[Sales_Order #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Location_id]" caption="Location_id" attribute="1" defaultMemberUniqueName="[fact_sales].[Location_id].[All]" allUniqueName="[fact_sales].[Location_id].[All]" dimensionUniqueName="[fact_sales]" displayFolder="" count="0" memberValueDatatype="130" unbalanced="0"/>
    <cacheHierarchy uniqueName="[fact_sales].[Order_Quantity]" caption="Order_Quantity" attribute="1" defaultMemberUniqueName="[fact_sales].[Order_Quantity].[All]" allUniqueName="[fact_sales].[Order_Quantity].[All]" dimensionUniqueName="[fact_sales]" displayFolder="" count="0" memberValueDatatype="2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20" unbalanced="0"/>
    <cacheHierarchy uniqueName="[fact_sales].[Cost]" caption="Cost" attribute="1" defaultMemberUniqueName="[fact_sales].[Cost].[All]" allUniqueName="[fact_sales].[Cost].[All]" dimensionUniqueName="[fact_sales]" displayFolder="" count="0" memberValueDatatype="2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20" unbalanced="0"/>
    <cacheHierarchy uniqueName="[Range].[Sales_Order #]" caption="Sales_Order #" attribute="1" defaultMemberUniqueName="[Range].[Sales_Order #].[All]" allUniqueName="[Range].[Sales_Order #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_id]" caption="Date_id" attribute="1" defaultMemberUniqueName="[Range].[Date_id].[All]" allUniqueName="[Range].[Date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Location_id]" caption="Location_id" attribute="1" defaultMemberUniqueName="[Range].[Location_id].[All]" allUniqueName="[Range].[Location_id].[All]" dimensionUniqueName="[Range]" displayFolder="" count="0" memberValueDatatype="130" unbalanced="0"/>
    <cacheHierarchy uniqueName="[Range].[Order_Quantity]" caption="Order_Quantity" attribute="1" defaultMemberUniqueName="[Range].[Order_Quantity].[All]" allUniqueName="[Range].[Order_Quantity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date]" caption="__XL_Count dim_date" measure="1" displayFolder="" measureGroup="dim_date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_Quantity]" caption="Sum of Order_Quantity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fact_sale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location" uniqueName="[dim_location]" caption="dim_location"/>
    <dimension name="dim_product" uniqueName="[dim_product]" caption="dim_product"/>
    <dimension name="fact_sales" uniqueName="[fact_sales]" caption="fact_sales"/>
    <dimension measure="1" name="Measures" uniqueName="[Measures]" caption="Measures"/>
    <dimension name="Range" uniqueName="[Range]" caption="Range"/>
  </dimensions>
  <measureGroups count="6">
    <measureGroup name="dim_customer" caption="dim_customer"/>
    <measureGroup name="dim_date" caption="dim_date"/>
    <measureGroup name="dim_location" caption="dim_location"/>
    <measureGroup name="dim_product" caption="dim_product"/>
    <measureGroup name="fact_sales" caption="fact_sales"/>
    <measureGroup name="Range" caption="Rang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k De Guzman" refreshedDate="46079.474565393517" backgroundQuery="1" createdVersion="8" refreshedVersion="8" minRefreshableVersion="3" recordCount="0" supportSubquery="1" supportAdvancedDrill="1" xr:uid="{1C64454C-41CD-47EA-8E63-14619B433E07}">
  <cacheSource type="external" connectionId="2"/>
  <cacheFields count="4">
    <cacheField name="[dim_location].[Country].[Country]" caption="Country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dim_customer].[Age_Group].[Age_Group]" caption="Age_Group" numFmtId="0" hierarchy="2" level="1">
      <sharedItems count="3">
        <s v="Adults (35-64)"/>
        <s v="Young Adults (25-34)"/>
        <s v="Youth (&lt;25)"/>
      </sharedItems>
    </cacheField>
    <cacheField name="[dim_customer].[Customer_Gender].[Customer_Gender]" caption="Customer_Gender" numFmtId="0" hierarchy="3" level="1">
      <sharedItems count="2">
        <s v="Female"/>
        <s v="Male"/>
      </sharedItems>
    </cacheField>
    <cacheField name="[Measures].[Sum of Profit]" caption="Sum of Profit" numFmtId="0" hierarchy="50" level="32767"/>
  </cacheFields>
  <cacheHierarchies count="51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130" unbalanced="0"/>
    <cacheHierarchy uniqueName="[dim_customer].[Customer_Age]" caption="Customer_Age" attribute="1" defaultMemberUniqueName="[dim_customer].[Customer_Age].[All]" allUniqueName="[dim_customer].[Customer_Age].[All]" dimensionUniqueName="[dim_customer]" displayFolder="" count="0" memberValueDatatype="20" unbalanced="0"/>
    <cacheHierarchy uniqueName="[dim_customer].[Age_Group]" caption="Age_Group" attribute="1" defaultMemberUniqueName="[dim_customer].[Age_Group].[All]" allUniqueName="[dim_customer].[Age_Group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Customer_Gender]" caption="Customer_Gender" attribute="1" defaultMemberUniqueName="[dim_customer].[Customer_Gender].[All]" allUniqueName="[dim_customer].[Customer_Gender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date].[Date_id]" caption="Date_id" attribute="1" defaultMemberUniqueName="[dim_date].[Date_id].[All]" allUniqueName="[dim_date].[Date_id].[All]" dimensionUniqueName="[dim_date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location].[Location_id]" caption="Location_id" attribute="1" defaultMemberUniqueName="[dim_location].[Location_id].[All]" allUniqueName="[dim_location].[Location_id].[All]" dimensionUniqueName="[dim_location]" displayFolder="" count="0" memberValueDatatype="130" unbalanced="0"/>
    <cacheHierarchy uniqueName="[dim_location].[Country]" caption="Country" attribute="1" defaultMemberUniqueName="[dim_location].[Country].[All]" allUniqueName="[dim_location].[Country].[All]" dimensionUniqueName="[dim_location]" displayFolder="" count="2" memberValueDatatype="130" unbalanced="0">
      <fieldsUsage count="2">
        <fieldUsage x="-1"/>
        <fieldUsage x="0"/>
      </fieldsUsage>
    </cacheHierarchy>
    <cacheHierarchy uniqueName="[dim_location].[State]" caption="State" attribute="1" defaultMemberUniqueName="[dim_location].[State].[All]" allUniqueName="[dim_location].[State].[All]" dimensionUniqueName="[dim_location]" displayFolder="" count="0" memberValueDatatype="13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130" unbalanced="0"/>
    <cacheHierarchy uniqueName="[dim_product].[Product_Category]" caption="Product_Category" attribute="1" defaultMemberUniqueName="[dim_product].[Product_Category].[All]" allUniqueName="[dim_product].[Product_Category].[All]" dimensionUniqueName="[dim_product]" displayFolder="" count="0" memberValueDatatype="130" unbalanced="0"/>
    <cacheHierarchy uniqueName="[dim_product].[Sub_Catergory]" caption="Sub_Catergory" attribute="1" defaultMemberUniqueName="[dim_product].[Sub_Catergory].[All]" allUniqueName="[dim_product].[Sub_Catergory].[All]" dimensionUniqueName="[dim_product]" displayFolder="" count="0" memberValueDatatype="130" unbalanced="0"/>
    <cacheHierarchy uniqueName="[dim_product].[Model]" caption="Model" attribute="1" defaultMemberUniqueName="[dim_product].[Model].[All]" allUniqueName="[dim_product].[Model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20" unbalanced="0"/>
    <cacheHierarchy uniqueName="[fact_sales].[Sales_Order #]" caption="Sales_Order #" attribute="1" defaultMemberUniqueName="[fact_sales].[Sales_Order #].[All]" allUniqueName="[fact_sales].[Sales_Order #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Location_id]" caption="Location_id" attribute="1" defaultMemberUniqueName="[fact_sales].[Location_id].[All]" allUniqueName="[fact_sales].[Location_id].[All]" dimensionUniqueName="[fact_sales]" displayFolder="" count="0" memberValueDatatype="130" unbalanced="0"/>
    <cacheHierarchy uniqueName="[fact_sales].[Order_Quantity]" caption="Order_Quantity" attribute="1" defaultMemberUniqueName="[fact_sales].[Order_Quantity].[All]" allUniqueName="[fact_sales].[Order_Quantity].[All]" dimensionUniqueName="[fact_sales]" displayFolder="" count="0" memberValueDatatype="20" unbalanced="0"/>
    <cacheHierarchy uniqueName="[fact_sales].[Unit_Cost]" caption="Unit_Cost" attribute="1" defaultMemberUniqueName="[fact_sales].[Unit_Cost].[All]" allUniqueName="[fact_sales].[Unit_Cost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20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20" unbalanced="0"/>
    <cacheHierarchy uniqueName="[fact_sales].[Cost]" caption="Cost" attribute="1" defaultMemberUniqueName="[fact_sales].[Cost].[All]" allUniqueName="[fact_sales].[Cost].[All]" dimensionUniqueName="[fact_sales]" displayFolder="" count="0" memberValueDatatype="20" unbalanced="0"/>
    <cacheHierarchy uniqueName="[fact_sales].[Revenue]" caption="Revenue" attribute="1" defaultMemberUniqueName="[fact_sales].[Revenue].[All]" allUniqueName="[fact_sales].[Revenue].[All]" dimensionUniqueName="[fact_sales]" displayFolder="" count="0" memberValueDatatype="20" unbalanced="0"/>
    <cacheHierarchy uniqueName="[Range].[Sales_Order #]" caption="Sales_Order #" attribute="1" defaultMemberUniqueName="[Range].[Sales_Order #].[All]" allUniqueName="[Range].[Sales_Order #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Date_id]" caption="Date_id" attribute="1" defaultMemberUniqueName="[Range].[Date_id].[All]" allUniqueName="[Range].[Date_id].[All]" dimensionUniqueName="[Range]" displayFolder="" count="0" memberValueDatatype="130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Location_id]" caption="Location_id" attribute="1" defaultMemberUniqueName="[Range].[Location_id].[All]" allUniqueName="[Range].[Location_id].[All]" dimensionUniqueName="[Range]" displayFolder="" count="0" memberValueDatatype="130" unbalanced="0"/>
    <cacheHierarchy uniqueName="[Range].[Order_Quantity]" caption="Order_Quantity" attribute="1" defaultMemberUniqueName="[Range].[Order_Quantity].[All]" allUniqueName="[Range].[Order_Quantity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date]" caption="__XL_Count dim_date" measure="1" displayFolder="" measureGroup="dim_date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_Quantity]" caption="Sum of Order_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Profit]" caption="Sum of Profit" measure="1" displayFolder="" measureGroup="fact_sal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name="dim_customer" uniqueName="[dim_customer]" caption="dim_customer"/>
    <dimension name="dim_date" uniqueName="[dim_date]" caption="dim_date"/>
    <dimension name="dim_location" uniqueName="[dim_location]" caption="dim_location"/>
    <dimension name="dim_product" uniqueName="[dim_product]" caption="dim_product"/>
    <dimension name="fact_sales" uniqueName="[fact_sales]" caption="fact_sales"/>
    <dimension measure="1" name="Measures" uniqueName="[Measures]" caption="Measures"/>
    <dimension name="Range" uniqueName="[Range]" caption="Range"/>
  </dimensions>
  <measureGroups count="6">
    <measureGroup name="dim_customer" caption="dim_customer"/>
    <measureGroup name="dim_date" caption="dim_date"/>
    <measureGroup name="dim_location" caption="dim_location"/>
    <measureGroup name="dim_product" caption="dim_product"/>
    <measureGroup name="fact_sales" caption="fact_sales"/>
    <measureGroup name="Range" caption="Range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EF032-0603-4B94-A052-8463AD7F13E2}" name="PivotTable8" cacheId="0" applyNumberFormats="0" applyBorderFormats="0" applyFontFormats="0" applyPatternFormats="0" applyAlignmentFormats="0" applyWidthHeightFormats="1" dataCaption="Values" missingCaption="0" tag="d75095c2-f749-47af-9b48-cb87a5648e4e" updatedVersion="8" minRefreshableVersion="3" useAutoFormatting="1" subtotalHiddenItems="1" colGrandTotals="0" itemPrintTitles="1" createdVersion="8" indent="0" outline="1" outlineData="1" multipleFieldFilters="0" chartFormat="1" rowHeaderCaption="Age_Group" colHeaderCaption="COUNTRY">
  <location ref="A3:G14" firstHeaderRow="1" firstDataRow="2" firstDataCol="1"/>
  <pivotFields count="4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3">
        <item x="2"/>
        <item x="1"/>
        <item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Order_Quantity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3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dim_location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77463-4400-4B54-A4D0-E6222CD8C81E}" name="PivotTable9" cacheId="1" applyNumberFormats="0" applyBorderFormats="0" applyFontFormats="0" applyPatternFormats="0" applyAlignmentFormats="0" applyWidthHeightFormats="1" dataCaption="Values" missingCaption="0" tag="914db706-e5c4-44f9-9b1e-8adb631579f3" updatedVersion="8" minRefreshableVersion="3" useAutoFormatting="1" subtotalHiddenItems="1" colGrandTotals="0" itemPrintTitles="1" createdVersion="8" indent="0" outline="1" outlineData="1" multipleFieldFilters="0" chartFormat="7" rowHeaderCaption="Age_Group" colHeaderCaption="COUNTRY">
  <location ref="A2:B45" firstHeaderRow="1" firstDataRow="1" firstDataCol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3">
        <item x="2"/>
        <item x="1"/>
        <item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3">
    <field x="0"/>
    <field x="1"/>
    <field x="2"/>
  </rowFields>
  <rowItems count="43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>
      <x v="3"/>
    </i>
    <i r="1">
      <x v="2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5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Sum of Profit" fld="3" baseField="0" baseItem="0"/>
  </dataFields>
  <formats count="1">
    <format dxfId="20">
      <pivotArea field="0" type="button" dataOnly="0" labelOnly="1" outline="0" axis="axisRow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0"/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dim_location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EE748-B566-4338-BC2B-DC67B16B95B4}" name="fact_sales" displayName="fact_sales" ref="A1:L90" totalsRowShown="0" headerRowDxfId="19">
  <autoFilter ref="A1:L90" xr:uid="{F20EE748-B566-4338-BC2B-DC67B16B95B4}"/>
  <tableColumns count="12">
    <tableColumn id="13" xr3:uid="{F441305A-DC59-4CB2-B0E8-A18F8B4EE5BC}" name="Sales_Order #"/>
    <tableColumn id="12" xr3:uid="{40A2A7A8-C2C1-4179-BDC2-EB4626631895}" name="Date" dataDxfId="18"/>
    <tableColumn id="2" xr3:uid="{24DDF3AD-9FB2-49E1-B28D-16C5BB1F1204}" name="Date_id"/>
    <tableColumn id="3" xr3:uid="{9263CFBB-FA7D-47F1-9684-37CA3623E382}" name="Customer_id"/>
    <tableColumn id="4" xr3:uid="{D3308823-427A-41F8-A323-29429F238984}" name="Product_id"/>
    <tableColumn id="5" xr3:uid="{C16737EF-1C05-4B4E-A973-E3A16163D37A}" name="Location_id"/>
    <tableColumn id="6" xr3:uid="{C5592740-60B9-4B3A-B124-B02969ED1369}" name="Order_Quantity" dataDxfId="17"/>
    <tableColumn id="7" xr3:uid="{2D9D6B24-F3D7-4575-B501-8E35B4B75C92}" name="Unit_Cost"/>
    <tableColumn id="8" xr3:uid="{09A68917-DD4B-403A-9163-05A4837AB77D}" name="Unit_Price"/>
    <tableColumn id="9" xr3:uid="{C4E5F3EE-2713-4F43-9495-BE479BA1FD44}" name="Profit"/>
    <tableColumn id="10" xr3:uid="{ADDD974F-9777-450D-9FC0-F797F41C3100}" name="Cost"/>
    <tableColumn id="11" xr3:uid="{AD42D3DE-FA5B-4F73-B12C-E6F80DD2D93C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06C15-E9F5-422C-8F66-517EC237F26A}" name="dim_customer" displayName="dim_customer" ref="A1:D89" totalsRowShown="0" headerRowDxfId="16">
  <autoFilter ref="A1:D89" xr:uid="{0B106C15-E9F5-422C-8F66-517EC237F26A}"/>
  <tableColumns count="4">
    <tableColumn id="1" xr3:uid="{143C44D0-18DC-42DB-9051-BD6C0910E381}" name="Customer_id" dataDxfId="15"/>
    <tableColumn id="2" xr3:uid="{D70F855C-C1FF-4B27-894E-3EDBED2E6859}" name="Customer_Age"/>
    <tableColumn id="3" xr3:uid="{17F885DD-387A-4D72-AD24-9EB8F741E9B1}" name="Age_Group"/>
    <tableColumn id="4" xr3:uid="{BC21FF62-BB8F-4FCF-ACBE-07CABEAA332F}" name="Customer_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5B1F4B-9513-4D85-847F-D06ED425770F}" name="dim_product" displayName="dim_product" ref="A1:F89" totalsRowShown="0" headerRowDxfId="14">
  <autoFilter ref="A1:F89" xr:uid="{D35B1F4B-9513-4D85-847F-D06ED425770F}"/>
  <tableColumns count="6">
    <tableColumn id="1" xr3:uid="{4A64E968-EB10-4436-B3EE-0BAF20E26230}" name="Product_id"/>
    <tableColumn id="2" xr3:uid="{6C0EEBCD-E70C-4A97-8E10-59E0AB343702}" name="Product_Category"/>
    <tableColumn id="3" xr3:uid="{80C9A76C-C132-470A-B366-EFE1935C28AF}" name="Sub_Catergory"/>
    <tableColumn id="4" xr3:uid="{D3D9403C-ADF8-49A0-B889-7D4C85B0A45C}" name="Model"/>
    <tableColumn id="5" xr3:uid="{2512BB0D-45F1-4589-9776-7F5B4CBFF910}" name="Color"/>
    <tableColumn id="6" xr3:uid="{3E0589B0-7A65-47D3-9DBE-B8F768C33C2B}" name="S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ED9B2-9C1E-4C41-952D-B59870CC97CF}" name="dim_location" displayName="dim_location" ref="B1:D89" totalsRowShown="0" headerRowDxfId="13">
  <autoFilter ref="B1:D89" xr:uid="{42AED9B2-9C1E-4C41-952D-B59870CC97CF}"/>
  <tableColumns count="3">
    <tableColumn id="1" xr3:uid="{C114E080-634A-486E-9A6D-1FD6B77612BD}" name="Location_id"/>
    <tableColumn id="2" xr3:uid="{15E1FD4A-1A06-47E3-963B-FDE654F629E5}" name="Country"/>
    <tableColumn id="3" xr3:uid="{A619E253-DF03-4AAF-BFD1-605C58FCB703}" name="St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B88A90-0310-46C2-B4C4-4F1296D10E66}" name="dim_date" displayName="dim_date" ref="A1:E89" totalsRowShown="0" headerRowDxfId="12">
  <autoFilter ref="A1:E89" xr:uid="{ABB88A90-0310-46C2-B4C4-4F1296D10E66}"/>
  <tableColumns count="5">
    <tableColumn id="1" xr3:uid="{73119DB7-7142-4182-99E3-84153C71C3D5}" name="Date_id"/>
    <tableColumn id="2" xr3:uid="{D3C6D20F-DBA1-4D1F-9EF0-618AC2352727}" name="Date"/>
    <tableColumn id="3" xr3:uid="{1CB1590F-9A8D-4070-AA0F-86BBE72AD0AF}" name="Day"/>
    <tableColumn id="4" xr3:uid="{E681EF3F-EC45-4209-B5E4-28298E4A388D}" name="Month"/>
    <tableColumn id="5" xr3:uid="{77A4C49D-BA9C-4713-8D82-66AA7009F31E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6CCA-E034-43CF-81C3-9CDA9215BE89}">
  <dimension ref="A3:G14"/>
  <sheetViews>
    <sheetView workbookViewId="0">
      <selection activeCell="G20" sqref="G20"/>
    </sheetView>
  </sheetViews>
  <sheetFormatPr defaultRowHeight="14.4"/>
  <cols>
    <col min="1" max="1" width="21.88671875" bestFit="1" customWidth="1"/>
    <col min="2" max="2" width="16.33203125" bestFit="1" customWidth="1"/>
    <col min="3" max="3" width="7.44140625" bestFit="1" customWidth="1"/>
    <col min="4" max="4" width="6.88671875" bestFit="1" customWidth="1"/>
    <col min="5" max="5" width="9.109375" bestFit="1" customWidth="1"/>
    <col min="6" max="6" width="15.5546875" bestFit="1" customWidth="1"/>
    <col min="7" max="7" width="13.109375" bestFit="1" customWidth="1"/>
    <col min="8" max="9" width="11.33203125" bestFit="1" customWidth="1"/>
  </cols>
  <sheetData>
    <row r="3" spans="1:7">
      <c r="A3" s="25" t="s">
        <v>183</v>
      </c>
      <c r="B3" s="25" t="s">
        <v>185</v>
      </c>
    </row>
    <row r="4" spans="1:7">
      <c r="A4" s="25" t="s">
        <v>6</v>
      </c>
      <c r="B4" t="s">
        <v>37</v>
      </c>
      <c r="C4" t="s">
        <v>59</v>
      </c>
      <c r="D4" t="s">
        <v>89</v>
      </c>
      <c r="E4" t="s">
        <v>51</v>
      </c>
      <c r="F4" t="s">
        <v>29</v>
      </c>
      <c r="G4" t="s">
        <v>23</v>
      </c>
    </row>
    <row r="5" spans="1:7">
      <c r="A5" s="26" t="s">
        <v>43</v>
      </c>
    </row>
    <row r="6" spans="1:7">
      <c r="A6" s="27" t="s">
        <v>169</v>
      </c>
      <c r="B6">
        <v>9</v>
      </c>
      <c r="C6">
        <v>0</v>
      </c>
      <c r="D6">
        <v>6</v>
      </c>
      <c r="E6">
        <v>0</v>
      </c>
      <c r="F6">
        <v>1</v>
      </c>
      <c r="G6">
        <v>0</v>
      </c>
    </row>
    <row r="7" spans="1:7">
      <c r="A7" s="27" t="s">
        <v>170</v>
      </c>
      <c r="B7">
        <v>2</v>
      </c>
      <c r="C7">
        <v>0</v>
      </c>
      <c r="D7">
        <v>4</v>
      </c>
      <c r="E7">
        <v>0</v>
      </c>
      <c r="F7">
        <v>5</v>
      </c>
      <c r="G7">
        <v>0</v>
      </c>
    </row>
    <row r="8" spans="1:7">
      <c r="A8" s="26" t="s">
        <v>36</v>
      </c>
    </row>
    <row r="9" spans="1:7">
      <c r="A9" s="27" t="s">
        <v>169</v>
      </c>
      <c r="B9">
        <v>17</v>
      </c>
      <c r="C9">
        <v>6</v>
      </c>
      <c r="D9">
        <v>1</v>
      </c>
      <c r="E9">
        <v>0</v>
      </c>
      <c r="F9">
        <v>3</v>
      </c>
      <c r="G9">
        <v>10</v>
      </c>
    </row>
    <row r="10" spans="1:7">
      <c r="A10" s="27" t="s">
        <v>170</v>
      </c>
      <c r="B10">
        <v>3</v>
      </c>
      <c r="C10">
        <v>5</v>
      </c>
      <c r="D10">
        <v>9</v>
      </c>
      <c r="E10">
        <v>0</v>
      </c>
      <c r="F10">
        <v>1</v>
      </c>
      <c r="G10">
        <v>6</v>
      </c>
    </row>
    <row r="11" spans="1:7">
      <c r="A11" s="26" t="s">
        <v>21</v>
      </c>
    </row>
    <row r="12" spans="1:7">
      <c r="A12" s="27" t="s">
        <v>169</v>
      </c>
      <c r="B12">
        <v>17</v>
      </c>
      <c r="C12">
        <v>0</v>
      </c>
      <c r="D12">
        <v>0</v>
      </c>
      <c r="E12">
        <v>8</v>
      </c>
      <c r="F12">
        <v>1</v>
      </c>
      <c r="G12">
        <v>28</v>
      </c>
    </row>
    <row r="13" spans="1:7">
      <c r="A13" s="27" t="s">
        <v>170</v>
      </c>
      <c r="B13">
        <v>15</v>
      </c>
      <c r="C13">
        <v>0</v>
      </c>
      <c r="D13">
        <v>0</v>
      </c>
      <c r="E13">
        <v>5</v>
      </c>
      <c r="F13">
        <v>3</v>
      </c>
      <c r="G13">
        <v>21</v>
      </c>
    </row>
    <row r="14" spans="1:7">
      <c r="A14" s="26" t="s">
        <v>182</v>
      </c>
      <c r="B14">
        <v>63</v>
      </c>
      <c r="C14">
        <v>11</v>
      </c>
      <c r="D14">
        <v>20</v>
      </c>
      <c r="E14">
        <v>13</v>
      </c>
      <c r="F14">
        <v>14</v>
      </c>
      <c r="G14">
        <v>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BE5F9-370C-4DE0-8D9A-3F444F33BD07}">
  <dimension ref="A2:B45"/>
  <sheetViews>
    <sheetView workbookViewId="0">
      <selection activeCell="B2" sqref="B2"/>
      <pivotSelection pane="bottomRight" showHeader="1" extendable="1" activeRow="1" activeCol="1" previousRow="1" previousCol="1" click="1" r:id="rId1">
        <pivotArea dataOnly="0" outline="0" axis="axisValues" fieldPosition="0"/>
      </pivotSelection>
    </sheetView>
  </sheetViews>
  <sheetFormatPr defaultRowHeight="14.4"/>
  <cols>
    <col min="1" max="1" width="22.77734375" bestFit="1" customWidth="1"/>
    <col min="2" max="2" width="12.109375" bestFit="1" customWidth="1"/>
    <col min="3" max="3" width="7.44140625" bestFit="1" customWidth="1"/>
    <col min="4" max="4" width="6.88671875" bestFit="1" customWidth="1"/>
    <col min="5" max="5" width="9.109375" bestFit="1" customWidth="1"/>
    <col min="6" max="6" width="15.5546875" bestFit="1" customWidth="1"/>
    <col min="7" max="7" width="13.109375" bestFit="1" customWidth="1"/>
  </cols>
  <sheetData>
    <row r="2" spans="1:2">
      <c r="A2" s="31" t="s">
        <v>6</v>
      </c>
      <c r="B2" t="s">
        <v>184</v>
      </c>
    </row>
    <row r="3" spans="1:2">
      <c r="A3" s="26" t="s">
        <v>37</v>
      </c>
    </row>
    <row r="4" spans="1:2">
      <c r="A4" s="27" t="s">
        <v>43</v>
      </c>
    </row>
    <row r="5" spans="1:2">
      <c r="A5" s="30" t="s">
        <v>169</v>
      </c>
      <c r="B5">
        <v>2265</v>
      </c>
    </row>
    <row r="6" spans="1:2">
      <c r="A6" s="30" t="s">
        <v>170</v>
      </c>
      <c r="B6">
        <v>490</v>
      </c>
    </row>
    <row r="7" spans="1:2">
      <c r="A7" s="27" t="s">
        <v>36</v>
      </c>
    </row>
    <row r="8" spans="1:2">
      <c r="A8" s="30" t="s">
        <v>169</v>
      </c>
      <c r="B8">
        <v>16204</v>
      </c>
    </row>
    <row r="9" spans="1:2">
      <c r="A9" s="30" t="s">
        <v>170</v>
      </c>
      <c r="B9">
        <v>2435</v>
      </c>
    </row>
    <row r="10" spans="1:2">
      <c r="A10" s="27" t="s">
        <v>21</v>
      </c>
    </row>
    <row r="11" spans="1:2">
      <c r="A11" s="30" t="s">
        <v>169</v>
      </c>
      <c r="B11">
        <v>13276</v>
      </c>
    </row>
    <row r="12" spans="1:2">
      <c r="A12" s="30" t="s">
        <v>170</v>
      </c>
      <c r="B12">
        <v>15656</v>
      </c>
    </row>
    <row r="13" spans="1:2">
      <c r="A13" s="26" t="s">
        <v>59</v>
      </c>
    </row>
    <row r="14" spans="1:2">
      <c r="A14" s="27" t="s">
        <v>36</v>
      </c>
    </row>
    <row r="15" spans="1:2">
      <c r="A15" s="30" t="s">
        <v>169</v>
      </c>
      <c r="B15">
        <v>6302</v>
      </c>
    </row>
    <row r="16" spans="1:2">
      <c r="A16" s="30" t="s">
        <v>170</v>
      </c>
      <c r="B16">
        <v>2821</v>
      </c>
    </row>
    <row r="17" spans="1:2">
      <c r="A17" s="26" t="s">
        <v>89</v>
      </c>
    </row>
    <row r="18" spans="1:2">
      <c r="A18" s="27" t="s">
        <v>43</v>
      </c>
    </row>
    <row r="19" spans="1:2">
      <c r="A19" s="30" t="s">
        <v>169</v>
      </c>
      <c r="B19">
        <v>6291</v>
      </c>
    </row>
    <row r="20" spans="1:2">
      <c r="A20" s="30" t="s">
        <v>170</v>
      </c>
      <c r="B20">
        <v>4216</v>
      </c>
    </row>
    <row r="21" spans="1:2">
      <c r="A21" s="27" t="s">
        <v>36</v>
      </c>
    </row>
    <row r="22" spans="1:2">
      <c r="A22" s="30" t="s">
        <v>169</v>
      </c>
      <c r="B22">
        <v>1054</v>
      </c>
    </row>
    <row r="23" spans="1:2">
      <c r="A23" s="30" t="s">
        <v>170</v>
      </c>
      <c r="B23">
        <v>9420</v>
      </c>
    </row>
    <row r="24" spans="1:2">
      <c r="A24" s="26" t="s">
        <v>51</v>
      </c>
    </row>
    <row r="25" spans="1:2">
      <c r="A25" s="27" t="s">
        <v>21</v>
      </c>
    </row>
    <row r="26" spans="1:2">
      <c r="A26" s="30" t="s">
        <v>169</v>
      </c>
      <c r="B26">
        <v>8410</v>
      </c>
    </row>
    <row r="27" spans="1:2">
      <c r="A27" s="30" t="s">
        <v>170</v>
      </c>
      <c r="B27">
        <v>5226</v>
      </c>
    </row>
    <row r="28" spans="1:2">
      <c r="A28" s="26" t="s">
        <v>29</v>
      </c>
    </row>
    <row r="29" spans="1:2">
      <c r="A29" s="27" t="s">
        <v>43</v>
      </c>
    </row>
    <row r="30" spans="1:2">
      <c r="A30" s="30" t="s">
        <v>169</v>
      </c>
      <c r="B30">
        <v>1043</v>
      </c>
    </row>
    <row r="31" spans="1:2">
      <c r="A31" s="30" t="s">
        <v>170</v>
      </c>
      <c r="B31">
        <v>1745</v>
      </c>
    </row>
    <row r="32" spans="1:2">
      <c r="A32" s="27" t="s">
        <v>36</v>
      </c>
    </row>
    <row r="33" spans="1:2">
      <c r="A33" s="30" t="s">
        <v>169</v>
      </c>
      <c r="B33">
        <v>1047</v>
      </c>
    </row>
    <row r="34" spans="1:2">
      <c r="A34" s="30" t="s">
        <v>170</v>
      </c>
      <c r="B34">
        <v>1043</v>
      </c>
    </row>
    <row r="35" spans="1:2">
      <c r="A35" s="27" t="s">
        <v>21</v>
      </c>
    </row>
    <row r="36" spans="1:2">
      <c r="A36" s="30" t="s">
        <v>169</v>
      </c>
      <c r="B36">
        <v>1043</v>
      </c>
    </row>
    <row r="37" spans="1:2">
      <c r="A37" s="30" t="s">
        <v>170</v>
      </c>
      <c r="B37">
        <v>3151</v>
      </c>
    </row>
    <row r="38" spans="1:2">
      <c r="A38" s="26" t="s">
        <v>23</v>
      </c>
    </row>
    <row r="39" spans="1:2">
      <c r="A39" s="27" t="s">
        <v>36</v>
      </c>
    </row>
    <row r="40" spans="1:2">
      <c r="A40" s="30" t="s">
        <v>169</v>
      </c>
      <c r="B40">
        <v>10952</v>
      </c>
    </row>
    <row r="41" spans="1:2">
      <c r="A41" s="30" t="s">
        <v>170</v>
      </c>
      <c r="B41">
        <v>2684</v>
      </c>
    </row>
    <row r="42" spans="1:2">
      <c r="A42" s="27" t="s">
        <v>21</v>
      </c>
    </row>
    <row r="43" spans="1:2">
      <c r="A43" s="30" t="s">
        <v>169</v>
      </c>
      <c r="B43">
        <v>25484</v>
      </c>
    </row>
    <row r="44" spans="1:2">
      <c r="A44" s="30" t="s">
        <v>170</v>
      </c>
      <c r="B44">
        <v>17078</v>
      </c>
    </row>
    <row r="45" spans="1:2">
      <c r="A45" s="26" t="s">
        <v>182</v>
      </c>
      <c r="B45">
        <v>159336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5710-9B1C-4D44-AFFE-C11AC1678685}">
  <dimension ref="A1:L90"/>
  <sheetViews>
    <sheetView zoomScale="70" zoomScaleNormal="70" workbookViewId="0">
      <selection sqref="A1:XFD1048576"/>
    </sheetView>
  </sheetViews>
  <sheetFormatPr defaultRowHeight="14.4"/>
  <cols>
    <col min="1" max="1" width="17.44140625" customWidth="1"/>
    <col min="2" max="2" width="14.5546875" customWidth="1"/>
    <col min="3" max="3" width="12.33203125" customWidth="1"/>
    <col min="4" max="4" width="17.5546875" customWidth="1"/>
    <col min="5" max="5" width="15.88671875" customWidth="1"/>
    <col min="6" max="6" width="17" customWidth="1"/>
    <col min="7" max="7" width="20.88671875" customWidth="1"/>
    <col min="8" max="8" width="14.44140625" customWidth="1"/>
    <col min="9" max="9" width="15.33203125" customWidth="1"/>
    <col min="10" max="10" width="14" customWidth="1"/>
    <col min="11" max="11" width="13.109375" customWidth="1"/>
    <col min="12" max="12" width="13.44140625" customWidth="1"/>
  </cols>
  <sheetData>
    <row r="1" spans="1:12">
      <c r="A1" s="1" t="s">
        <v>0</v>
      </c>
      <c r="B1" s="4" t="s">
        <v>1</v>
      </c>
      <c r="C1" s="16" t="s">
        <v>177</v>
      </c>
      <c r="D1" s="16" t="s">
        <v>176</v>
      </c>
      <c r="E1" s="16" t="s">
        <v>174</v>
      </c>
      <c r="F1" s="16" t="s">
        <v>175</v>
      </c>
      <c r="G1" s="17" t="s">
        <v>13</v>
      </c>
      <c r="H1" s="16" t="s">
        <v>178</v>
      </c>
      <c r="I1" s="16" t="s">
        <v>179</v>
      </c>
      <c r="J1" s="16" t="s">
        <v>180</v>
      </c>
      <c r="K1" s="16" t="s">
        <v>181</v>
      </c>
      <c r="L1" s="16" t="s">
        <v>18</v>
      </c>
    </row>
    <row r="2" spans="1:12">
      <c r="A2" s="5" t="s">
        <v>19</v>
      </c>
      <c r="B2" s="24">
        <v>44531</v>
      </c>
      <c r="C2" t="str">
        <f>"D-"&amp;ROW()-1</f>
        <v>D-1</v>
      </c>
      <c r="D2" t="str">
        <f>"D-"&amp;ROW()-1</f>
        <v>D-1</v>
      </c>
      <c r="E2" t="str">
        <f t="shared" ref="E2:E33" si="0">"P-"&amp;ROW()-1</f>
        <v>P-1</v>
      </c>
      <c r="F2" t="str">
        <f t="shared" ref="F2:F33" si="1">"L-"&amp;ROW()-1</f>
        <v>L-1</v>
      </c>
      <c r="G2" s="3">
        <v>4</v>
      </c>
      <c r="H2" s="12">
        <v>1252</v>
      </c>
      <c r="I2" s="12">
        <v>2295</v>
      </c>
      <c r="J2" s="12">
        <v>4172</v>
      </c>
      <c r="K2" s="12">
        <f t="shared" ref="K2:K33" si="2">G2*H2</f>
        <v>5008</v>
      </c>
      <c r="L2" s="12">
        <f t="shared" ref="L2:L33" si="3">G2*I2</f>
        <v>9180</v>
      </c>
    </row>
    <row r="3" spans="1:12">
      <c r="A3" s="21" t="s">
        <v>159</v>
      </c>
      <c r="B3" s="24">
        <v>44531</v>
      </c>
      <c r="C3" t="str">
        <f t="shared" ref="C3:C34" si="4">"D-"&amp;ROW()-1</f>
        <v>D-2</v>
      </c>
      <c r="D3" t="str">
        <f t="shared" ref="D3:D34" si="5">"C-"&amp;ROW()-1</f>
        <v>C-2</v>
      </c>
      <c r="E3" t="str">
        <f t="shared" si="0"/>
        <v>P-2</v>
      </c>
      <c r="F3" t="str">
        <f t="shared" si="1"/>
        <v>L-2</v>
      </c>
      <c r="G3" s="3">
        <v>1</v>
      </c>
      <c r="H3" s="12">
        <v>1266</v>
      </c>
      <c r="I3" s="12">
        <v>2320</v>
      </c>
      <c r="J3" s="12">
        <v>1054</v>
      </c>
      <c r="K3" s="12">
        <f t="shared" si="2"/>
        <v>1266</v>
      </c>
      <c r="L3" s="12">
        <f t="shared" si="3"/>
        <v>2320</v>
      </c>
    </row>
    <row r="4" spans="1:12">
      <c r="A4" s="5" t="s">
        <v>32</v>
      </c>
      <c r="B4" s="24">
        <v>44532</v>
      </c>
      <c r="C4" t="str">
        <f t="shared" si="4"/>
        <v>D-3</v>
      </c>
      <c r="D4" t="str">
        <f t="shared" si="5"/>
        <v>C-3</v>
      </c>
      <c r="E4" t="str">
        <f t="shared" si="0"/>
        <v>P-3</v>
      </c>
      <c r="F4" t="str">
        <f t="shared" si="1"/>
        <v>L-3</v>
      </c>
      <c r="G4" s="3">
        <v>2</v>
      </c>
      <c r="H4" s="12">
        <v>420</v>
      </c>
      <c r="I4" s="12">
        <v>769</v>
      </c>
      <c r="J4" s="12">
        <v>698</v>
      </c>
      <c r="K4" s="12">
        <f t="shared" si="2"/>
        <v>840</v>
      </c>
      <c r="L4" s="12">
        <f t="shared" si="3"/>
        <v>1538</v>
      </c>
    </row>
    <row r="5" spans="1:12">
      <c r="A5" s="5" t="s">
        <v>35</v>
      </c>
      <c r="B5" s="24">
        <v>44532</v>
      </c>
      <c r="C5" t="str">
        <f t="shared" si="4"/>
        <v>D-4</v>
      </c>
      <c r="D5" t="str">
        <f t="shared" si="5"/>
        <v>C-4</v>
      </c>
      <c r="E5" t="str">
        <f t="shared" si="0"/>
        <v>P-4</v>
      </c>
      <c r="F5" t="str">
        <f t="shared" si="1"/>
        <v>L-4</v>
      </c>
      <c r="G5" s="3">
        <v>1</v>
      </c>
      <c r="H5" s="12">
        <v>420</v>
      </c>
      <c r="I5" s="12">
        <v>769</v>
      </c>
      <c r="J5" s="12">
        <v>349</v>
      </c>
      <c r="K5" s="12">
        <f t="shared" si="2"/>
        <v>420</v>
      </c>
      <c r="L5" s="12">
        <f t="shared" si="3"/>
        <v>769</v>
      </c>
    </row>
    <row r="6" spans="1:12">
      <c r="A6" s="5" t="s">
        <v>40</v>
      </c>
      <c r="B6" s="24">
        <v>44533</v>
      </c>
      <c r="C6" t="str">
        <f t="shared" si="4"/>
        <v>D-5</v>
      </c>
      <c r="D6" t="str">
        <f t="shared" si="5"/>
        <v>C-5</v>
      </c>
      <c r="E6" t="str">
        <f t="shared" si="0"/>
        <v>P-5</v>
      </c>
      <c r="F6" t="str">
        <f t="shared" si="1"/>
        <v>L-5</v>
      </c>
      <c r="G6" s="3">
        <v>2</v>
      </c>
      <c r="H6" s="12">
        <v>1252</v>
      </c>
      <c r="I6" s="12">
        <v>2295</v>
      </c>
      <c r="J6" s="12">
        <v>2086</v>
      </c>
      <c r="K6" s="12">
        <f t="shared" si="2"/>
        <v>2504</v>
      </c>
      <c r="L6" s="12">
        <f t="shared" si="3"/>
        <v>4590</v>
      </c>
    </row>
    <row r="7" spans="1:12">
      <c r="A7" s="5" t="s">
        <v>42</v>
      </c>
      <c r="B7" s="24">
        <v>44533</v>
      </c>
      <c r="C7" t="str">
        <f t="shared" si="4"/>
        <v>D-6</v>
      </c>
      <c r="D7" t="str">
        <f t="shared" si="5"/>
        <v>C-6</v>
      </c>
      <c r="E7" t="str">
        <f t="shared" si="0"/>
        <v>P-6</v>
      </c>
      <c r="F7" t="str">
        <f t="shared" si="1"/>
        <v>L-6</v>
      </c>
      <c r="G7" s="3">
        <v>1</v>
      </c>
      <c r="H7" s="12">
        <v>1252</v>
      </c>
      <c r="I7" s="12">
        <v>2295</v>
      </c>
      <c r="J7" s="12">
        <v>1043</v>
      </c>
      <c r="K7" s="12">
        <f t="shared" si="2"/>
        <v>1252</v>
      </c>
      <c r="L7" s="12">
        <f t="shared" si="3"/>
        <v>2295</v>
      </c>
    </row>
    <row r="8" spans="1:12">
      <c r="A8" s="5" t="s">
        <v>45</v>
      </c>
      <c r="B8" s="24">
        <v>44533</v>
      </c>
      <c r="C8" t="str">
        <f t="shared" si="4"/>
        <v>D-7</v>
      </c>
      <c r="D8" t="str">
        <f t="shared" si="5"/>
        <v>C-7</v>
      </c>
      <c r="E8" t="str">
        <f t="shared" si="0"/>
        <v>P-7</v>
      </c>
      <c r="F8" t="str">
        <f t="shared" si="1"/>
        <v>L-7</v>
      </c>
      <c r="G8" s="3">
        <v>1</v>
      </c>
      <c r="H8" s="12">
        <v>1252</v>
      </c>
      <c r="I8" s="12">
        <v>2295</v>
      </c>
      <c r="J8" s="12">
        <v>1043</v>
      </c>
      <c r="K8" s="12">
        <f t="shared" si="2"/>
        <v>1252</v>
      </c>
      <c r="L8" s="12">
        <f t="shared" si="3"/>
        <v>2295</v>
      </c>
    </row>
    <row r="9" spans="1:12">
      <c r="A9" s="5" t="s">
        <v>48</v>
      </c>
      <c r="B9" s="24">
        <v>44534</v>
      </c>
      <c r="C9" t="str">
        <f t="shared" si="4"/>
        <v>D-8</v>
      </c>
      <c r="D9" t="str">
        <f t="shared" si="5"/>
        <v>C-8</v>
      </c>
      <c r="E9" t="str">
        <f t="shared" si="0"/>
        <v>P-8</v>
      </c>
      <c r="F9" t="str">
        <f t="shared" si="1"/>
        <v>L-8</v>
      </c>
      <c r="G9" s="3">
        <v>4</v>
      </c>
      <c r="H9" s="12">
        <v>420</v>
      </c>
      <c r="I9" s="12">
        <v>769</v>
      </c>
      <c r="J9" s="12">
        <v>1396</v>
      </c>
      <c r="K9" s="12">
        <f t="shared" si="2"/>
        <v>1680</v>
      </c>
      <c r="L9" s="12">
        <f t="shared" si="3"/>
        <v>3076</v>
      </c>
    </row>
    <row r="10" spans="1:12">
      <c r="A10" s="5" t="s">
        <v>49</v>
      </c>
      <c r="B10" s="24">
        <v>44535</v>
      </c>
      <c r="C10" t="str">
        <f t="shared" si="4"/>
        <v>D-9</v>
      </c>
      <c r="D10" t="str">
        <f t="shared" si="5"/>
        <v>C-9</v>
      </c>
      <c r="E10" t="str">
        <f t="shared" si="0"/>
        <v>P-9</v>
      </c>
      <c r="F10" t="str">
        <f t="shared" si="1"/>
        <v>L-9</v>
      </c>
      <c r="G10" s="3">
        <v>4</v>
      </c>
      <c r="H10" s="12">
        <v>1252</v>
      </c>
      <c r="I10" s="12">
        <v>2295</v>
      </c>
      <c r="J10" s="12">
        <v>4172</v>
      </c>
      <c r="K10" s="12">
        <f t="shared" si="2"/>
        <v>5008</v>
      </c>
      <c r="L10" s="12">
        <f t="shared" si="3"/>
        <v>9180</v>
      </c>
    </row>
    <row r="11" spans="1:12">
      <c r="A11" s="5" t="s">
        <v>50</v>
      </c>
      <c r="B11" s="24">
        <v>44535</v>
      </c>
      <c r="C11" t="str">
        <f t="shared" si="4"/>
        <v>D-10</v>
      </c>
      <c r="D11" t="str">
        <f t="shared" si="5"/>
        <v>C-10</v>
      </c>
      <c r="E11" t="str">
        <f t="shared" si="0"/>
        <v>P-10</v>
      </c>
      <c r="F11" t="str">
        <f t="shared" si="1"/>
        <v>L-10</v>
      </c>
      <c r="G11" s="3">
        <v>4</v>
      </c>
      <c r="H11" s="12">
        <v>1252</v>
      </c>
      <c r="I11" s="12">
        <v>2295</v>
      </c>
      <c r="J11" s="12">
        <v>4172</v>
      </c>
      <c r="K11" s="12">
        <f t="shared" si="2"/>
        <v>5008</v>
      </c>
      <c r="L11" s="12">
        <f t="shared" si="3"/>
        <v>9180</v>
      </c>
    </row>
    <row r="12" spans="1:12">
      <c r="A12" s="5" t="s">
        <v>53</v>
      </c>
      <c r="B12" s="24">
        <v>44535</v>
      </c>
      <c r="C12" t="str">
        <f t="shared" si="4"/>
        <v>D-11</v>
      </c>
      <c r="D12" t="str">
        <f t="shared" si="5"/>
        <v>C-11</v>
      </c>
      <c r="E12" t="str">
        <f t="shared" si="0"/>
        <v>P-11</v>
      </c>
      <c r="F12" t="str">
        <f t="shared" si="1"/>
        <v>L-11</v>
      </c>
      <c r="G12" s="3">
        <v>1</v>
      </c>
      <c r="H12" s="12">
        <v>1266</v>
      </c>
      <c r="I12" s="12">
        <v>2320</v>
      </c>
      <c r="J12" s="12">
        <v>1054</v>
      </c>
      <c r="K12" s="12">
        <f t="shared" si="2"/>
        <v>1266</v>
      </c>
      <c r="L12" s="12">
        <f t="shared" si="3"/>
        <v>2320</v>
      </c>
    </row>
    <row r="13" spans="1:12">
      <c r="A13" s="5" t="s">
        <v>56</v>
      </c>
      <c r="B13" s="24">
        <v>44535</v>
      </c>
      <c r="C13" t="str">
        <f t="shared" si="4"/>
        <v>D-12</v>
      </c>
      <c r="D13" t="str">
        <f t="shared" si="5"/>
        <v>C-12</v>
      </c>
      <c r="E13" t="str">
        <f t="shared" si="0"/>
        <v>P-12</v>
      </c>
      <c r="F13" t="str">
        <f t="shared" si="1"/>
        <v>L-12</v>
      </c>
      <c r="G13" s="3">
        <v>1</v>
      </c>
      <c r="H13" s="12">
        <v>1252</v>
      </c>
      <c r="I13" s="12">
        <v>2295</v>
      </c>
      <c r="J13" s="12">
        <v>1043</v>
      </c>
      <c r="K13" s="12">
        <f t="shared" si="2"/>
        <v>1252</v>
      </c>
      <c r="L13" s="12">
        <f t="shared" si="3"/>
        <v>2295</v>
      </c>
    </row>
    <row r="14" spans="1:12">
      <c r="A14" s="5" t="s">
        <v>57</v>
      </c>
      <c r="B14" s="24">
        <v>44536</v>
      </c>
      <c r="C14" t="str">
        <f t="shared" si="4"/>
        <v>D-13</v>
      </c>
      <c r="D14" t="str">
        <f t="shared" si="5"/>
        <v>C-13</v>
      </c>
      <c r="E14" t="str">
        <f t="shared" si="0"/>
        <v>P-13</v>
      </c>
      <c r="F14" t="str">
        <f t="shared" si="1"/>
        <v>L-13</v>
      </c>
      <c r="G14" s="3">
        <v>3</v>
      </c>
      <c r="H14" s="12">
        <v>420</v>
      </c>
      <c r="I14" s="12">
        <v>769</v>
      </c>
      <c r="J14" s="12">
        <v>1047</v>
      </c>
      <c r="K14" s="12">
        <f t="shared" si="2"/>
        <v>1260</v>
      </c>
      <c r="L14" s="12">
        <f t="shared" si="3"/>
        <v>2307</v>
      </c>
    </row>
    <row r="15" spans="1:12">
      <c r="A15" s="5" t="s">
        <v>58</v>
      </c>
      <c r="B15" s="24">
        <v>44536</v>
      </c>
      <c r="C15" t="str">
        <f t="shared" si="4"/>
        <v>D-14</v>
      </c>
      <c r="D15" t="str">
        <f t="shared" si="5"/>
        <v>C-14</v>
      </c>
      <c r="E15" t="str">
        <f t="shared" si="0"/>
        <v>P-14</v>
      </c>
      <c r="F15" t="str">
        <f t="shared" si="1"/>
        <v>L-14</v>
      </c>
      <c r="G15" s="3">
        <v>1</v>
      </c>
      <c r="H15" s="12">
        <v>1252</v>
      </c>
      <c r="I15" s="12">
        <v>2295</v>
      </c>
      <c r="J15" s="12">
        <v>1043</v>
      </c>
      <c r="K15" s="12">
        <f t="shared" si="2"/>
        <v>1252</v>
      </c>
      <c r="L15" s="12">
        <f t="shared" si="3"/>
        <v>2295</v>
      </c>
    </row>
    <row r="16" spans="1:12">
      <c r="A16" s="5" t="s">
        <v>61</v>
      </c>
      <c r="B16" s="24">
        <v>44536</v>
      </c>
      <c r="C16" t="str">
        <f t="shared" si="4"/>
        <v>D-15</v>
      </c>
      <c r="D16" t="str">
        <f t="shared" si="5"/>
        <v>C-15</v>
      </c>
      <c r="E16" t="str">
        <f t="shared" si="0"/>
        <v>P-15</v>
      </c>
      <c r="F16" t="str">
        <f t="shared" si="1"/>
        <v>L-15</v>
      </c>
      <c r="G16" s="3">
        <v>1</v>
      </c>
      <c r="H16" s="12">
        <v>1252</v>
      </c>
      <c r="I16" s="12">
        <v>2295</v>
      </c>
      <c r="J16" s="12">
        <v>1043</v>
      </c>
      <c r="K16" s="12">
        <f t="shared" si="2"/>
        <v>1252</v>
      </c>
      <c r="L16" s="12">
        <f t="shared" si="3"/>
        <v>2295</v>
      </c>
    </row>
    <row r="17" spans="1:12">
      <c r="A17" s="5" t="s">
        <v>63</v>
      </c>
      <c r="B17" s="24">
        <v>44536</v>
      </c>
      <c r="C17" t="str">
        <f t="shared" si="4"/>
        <v>D-16</v>
      </c>
      <c r="D17" t="str">
        <f t="shared" si="5"/>
        <v>C-16</v>
      </c>
      <c r="E17" t="str">
        <f t="shared" si="0"/>
        <v>P-16</v>
      </c>
      <c r="F17" t="str">
        <f t="shared" si="1"/>
        <v>L-16</v>
      </c>
      <c r="G17" s="3">
        <v>1</v>
      </c>
      <c r="H17" s="12">
        <v>1266</v>
      </c>
      <c r="I17" s="12">
        <v>2320</v>
      </c>
      <c r="J17" s="12">
        <v>1054</v>
      </c>
      <c r="K17" s="12">
        <f t="shared" si="2"/>
        <v>1266</v>
      </c>
      <c r="L17" s="12">
        <f t="shared" si="3"/>
        <v>2320</v>
      </c>
    </row>
    <row r="18" spans="1:12">
      <c r="A18" s="5" t="s">
        <v>64</v>
      </c>
      <c r="B18" s="24">
        <v>44537</v>
      </c>
      <c r="C18" t="str">
        <f t="shared" si="4"/>
        <v>D-17</v>
      </c>
      <c r="D18" t="str">
        <f t="shared" si="5"/>
        <v>C-17</v>
      </c>
      <c r="E18" t="str">
        <f t="shared" si="0"/>
        <v>P-17</v>
      </c>
      <c r="F18" t="str">
        <f t="shared" si="1"/>
        <v>L-17</v>
      </c>
      <c r="G18" s="3">
        <v>4</v>
      </c>
      <c r="H18" s="12">
        <v>420</v>
      </c>
      <c r="I18" s="12">
        <v>769</v>
      </c>
      <c r="J18" s="12">
        <v>1396</v>
      </c>
      <c r="K18" s="12">
        <f t="shared" si="2"/>
        <v>1680</v>
      </c>
      <c r="L18" s="12">
        <f t="shared" si="3"/>
        <v>3076</v>
      </c>
    </row>
    <row r="19" spans="1:12">
      <c r="A19" s="5" t="s">
        <v>67</v>
      </c>
      <c r="B19" s="24">
        <v>44537</v>
      </c>
      <c r="C19" t="str">
        <f t="shared" si="4"/>
        <v>D-18</v>
      </c>
      <c r="D19" t="str">
        <f t="shared" si="5"/>
        <v>C-18</v>
      </c>
      <c r="E19" t="str">
        <f t="shared" si="0"/>
        <v>P-18</v>
      </c>
      <c r="F19" t="str">
        <f t="shared" si="1"/>
        <v>L-18</v>
      </c>
      <c r="G19" s="3">
        <v>2</v>
      </c>
      <c r="H19" s="12">
        <v>1266</v>
      </c>
      <c r="I19" s="12">
        <v>2320</v>
      </c>
      <c r="J19" s="12">
        <v>2108</v>
      </c>
      <c r="K19" s="12">
        <f t="shared" si="2"/>
        <v>2532</v>
      </c>
      <c r="L19" s="12">
        <f t="shared" si="3"/>
        <v>4640</v>
      </c>
    </row>
    <row r="20" spans="1:12">
      <c r="A20" s="5" t="s">
        <v>68</v>
      </c>
      <c r="B20" s="24">
        <v>44538</v>
      </c>
      <c r="C20" t="str">
        <f t="shared" si="4"/>
        <v>D-19</v>
      </c>
      <c r="D20" t="str">
        <f t="shared" si="5"/>
        <v>C-19</v>
      </c>
      <c r="E20" t="str">
        <f t="shared" si="0"/>
        <v>P-19</v>
      </c>
      <c r="F20" t="str">
        <f t="shared" si="1"/>
        <v>L-19</v>
      </c>
      <c r="G20" s="3">
        <v>4</v>
      </c>
      <c r="H20" s="12">
        <v>308</v>
      </c>
      <c r="I20" s="12">
        <v>565</v>
      </c>
      <c r="J20" s="12">
        <v>1028</v>
      </c>
      <c r="K20" s="12">
        <f t="shared" si="2"/>
        <v>1232</v>
      </c>
      <c r="L20" s="12">
        <f t="shared" si="3"/>
        <v>2260</v>
      </c>
    </row>
    <row r="21" spans="1:12">
      <c r="A21" s="5" t="s">
        <v>70</v>
      </c>
      <c r="B21" s="24">
        <v>44538</v>
      </c>
      <c r="C21" t="str">
        <f t="shared" si="4"/>
        <v>D-20</v>
      </c>
      <c r="D21" t="str">
        <f t="shared" si="5"/>
        <v>C-20</v>
      </c>
      <c r="E21" t="str">
        <f t="shared" si="0"/>
        <v>P-20</v>
      </c>
      <c r="F21" t="str">
        <f t="shared" si="1"/>
        <v>L-20</v>
      </c>
      <c r="G21" s="3">
        <v>4</v>
      </c>
      <c r="H21" s="12">
        <v>1266</v>
      </c>
      <c r="I21" s="12">
        <v>2320</v>
      </c>
      <c r="J21" s="12">
        <v>4216</v>
      </c>
      <c r="K21" s="12">
        <f t="shared" si="2"/>
        <v>5064</v>
      </c>
      <c r="L21" s="12">
        <f t="shared" si="3"/>
        <v>9280</v>
      </c>
    </row>
    <row r="22" spans="1:12">
      <c r="A22" s="5" t="s">
        <v>71</v>
      </c>
      <c r="B22" s="24">
        <v>44538</v>
      </c>
      <c r="C22" t="str">
        <f t="shared" si="4"/>
        <v>D-21</v>
      </c>
      <c r="D22" t="str">
        <f t="shared" si="5"/>
        <v>C-21</v>
      </c>
      <c r="E22" t="str">
        <f t="shared" si="0"/>
        <v>P-21</v>
      </c>
      <c r="F22" t="str">
        <f t="shared" si="1"/>
        <v>L-21</v>
      </c>
      <c r="G22" s="3">
        <v>2</v>
      </c>
      <c r="H22" s="12">
        <v>1252</v>
      </c>
      <c r="I22" s="12">
        <v>2295</v>
      </c>
      <c r="J22" s="12">
        <v>2086</v>
      </c>
      <c r="K22" s="12">
        <f t="shared" si="2"/>
        <v>2504</v>
      </c>
      <c r="L22" s="12">
        <f t="shared" si="3"/>
        <v>4590</v>
      </c>
    </row>
    <row r="23" spans="1:12">
      <c r="A23" s="5" t="s">
        <v>73</v>
      </c>
      <c r="B23" s="24">
        <v>44538</v>
      </c>
      <c r="C23" t="str">
        <f t="shared" si="4"/>
        <v>D-22</v>
      </c>
      <c r="D23" t="str">
        <f t="shared" si="5"/>
        <v>C-22</v>
      </c>
      <c r="E23" t="str">
        <f t="shared" si="0"/>
        <v>P-22</v>
      </c>
      <c r="F23" t="str">
        <f t="shared" si="1"/>
        <v>L-22</v>
      </c>
      <c r="G23" s="3">
        <v>4</v>
      </c>
      <c r="H23" s="12">
        <v>295</v>
      </c>
      <c r="I23" s="12">
        <v>540</v>
      </c>
      <c r="J23" s="12">
        <v>245</v>
      </c>
      <c r="K23" s="12">
        <f t="shared" si="2"/>
        <v>1180</v>
      </c>
      <c r="L23" s="12">
        <f t="shared" si="3"/>
        <v>2160</v>
      </c>
    </row>
    <row r="24" spans="1:12">
      <c r="A24" s="5" t="s">
        <v>75</v>
      </c>
      <c r="B24" s="24">
        <v>44539</v>
      </c>
      <c r="C24" t="str">
        <f t="shared" si="4"/>
        <v>D-23</v>
      </c>
      <c r="D24" t="str">
        <f t="shared" si="5"/>
        <v>C-23</v>
      </c>
      <c r="E24" t="str">
        <f t="shared" si="0"/>
        <v>P-23</v>
      </c>
      <c r="F24" t="str">
        <f t="shared" si="1"/>
        <v>L-23</v>
      </c>
      <c r="G24" s="3">
        <v>2</v>
      </c>
      <c r="H24" s="12">
        <v>1898</v>
      </c>
      <c r="I24" s="12">
        <v>3375</v>
      </c>
      <c r="J24" s="12">
        <v>2954</v>
      </c>
      <c r="K24" s="12">
        <f t="shared" si="2"/>
        <v>3796</v>
      </c>
      <c r="L24" s="12">
        <f t="shared" si="3"/>
        <v>6750</v>
      </c>
    </row>
    <row r="25" spans="1:12">
      <c r="A25" s="5" t="s">
        <v>78</v>
      </c>
      <c r="B25" s="24">
        <v>44539</v>
      </c>
      <c r="C25" t="str">
        <f t="shared" si="4"/>
        <v>D-24</v>
      </c>
      <c r="D25" t="str">
        <f t="shared" si="5"/>
        <v>C-24</v>
      </c>
      <c r="E25" t="str">
        <f t="shared" si="0"/>
        <v>P-24</v>
      </c>
      <c r="F25" t="str">
        <f t="shared" si="1"/>
        <v>L-24</v>
      </c>
      <c r="G25" s="3">
        <v>1</v>
      </c>
      <c r="H25" s="12">
        <v>1266</v>
      </c>
      <c r="I25" s="12">
        <v>2320</v>
      </c>
      <c r="J25" s="12">
        <v>1054</v>
      </c>
      <c r="K25" s="12">
        <f t="shared" si="2"/>
        <v>1266</v>
      </c>
      <c r="L25" s="12">
        <f t="shared" si="3"/>
        <v>2320</v>
      </c>
    </row>
    <row r="26" spans="1:12">
      <c r="A26" s="5" t="s">
        <v>80</v>
      </c>
      <c r="B26" s="24">
        <v>44540</v>
      </c>
      <c r="C26" t="str">
        <f t="shared" si="4"/>
        <v>D-25</v>
      </c>
      <c r="D26" t="str">
        <f t="shared" si="5"/>
        <v>C-25</v>
      </c>
      <c r="E26" t="str">
        <f t="shared" si="0"/>
        <v>P-25</v>
      </c>
      <c r="F26" t="str">
        <f t="shared" si="1"/>
        <v>L-25</v>
      </c>
      <c r="G26" s="3">
        <v>2</v>
      </c>
      <c r="H26" s="12">
        <v>1252</v>
      </c>
      <c r="I26" s="12">
        <v>2295</v>
      </c>
      <c r="J26" s="12">
        <v>2086</v>
      </c>
      <c r="K26" s="12">
        <f t="shared" si="2"/>
        <v>2504</v>
      </c>
      <c r="L26" s="12">
        <f t="shared" si="3"/>
        <v>4590</v>
      </c>
    </row>
    <row r="27" spans="1:12">
      <c r="A27" s="5" t="s">
        <v>81</v>
      </c>
      <c r="B27" s="24">
        <v>44540</v>
      </c>
      <c r="C27" t="str">
        <f t="shared" si="4"/>
        <v>D-26</v>
      </c>
      <c r="D27" t="str">
        <f t="shared" si="5"/>
        <v>C-26</v>
      </c>
      <c r="E27" t="str">
        <f t="shared" si="0"/>
        <v>P-26</v>
      </c>
      <c r="F27" t="str">
        <f t="shared" si="1"/>
        <v>L-26</v>
      </c>
      <c r="G27" s="3">
        <v>2</v>
      </c>
      <c r="H27" s="12">
        <v>1252</v>
      </c>
      <c r="I27" s="12">
        <v>2295</v>
      </c>
      <c r="J27" s="12">
        <v>2086</v>
      </c>
      <c r="K27" s="12">
        <f t="shared" si="2"/>
        <v>2504</v>
      </c>
      <c r="L27" s="12">
        <f t="shared" si="3"/>
        <v>4590</v>
      </c>
    </row>
    <row r="28" spans="1:12">
      <c r="A28" s="5" t="s">
        <v>82</v>
      </c>
      <c r="B28" s="24">
        <v>44540</v>
      </c>
      <c r="C28" t="str">
        <f t="shared" si="4"/>
        <v>D-27</v>
      </c>
      <c r="D28" t="str">
        <f t="shared" si="5"/>
        <v>C-27</v>
      </c>
      <c r="E28" t="str">
        <f t="shared" si="0"/>
        <v>P-27</v>
      </c>
      <c r="F28" t="str">
        <f t="shared" si="1"/>
        <v>L-27</v>
      </c>
      <c r="G28" s="3">
        <v>1</v>
      </c>
      <c r="H28" s="12">
        <v>1252</v>
      </c>
      <c r="I28" s="12">
        <v>2295</v>
      </c>
      <c r="J28" s="12">
        <v>1043</v>
      </c>
      <c r="K28" s="12">
        <f t="shared" si="2"/>
        <v>1252</v>
      </c>
      <c r="L28" s="12">
        <f t="shared" si="3"/>
        <v>2295</v>
      </c>
    </row>
    <row r="29" spans="1:12">
      <c r="A29" s="5" t="s">
        <v>83</v>
      </c>
      <c r="B29" s="24">
        <v>44540</v>
      </c>
      <c r="C29" t="str">
        <f t="shared" si="4"/>
        <v>D-28</v>
      </c>
      <c r="D29" t="str">
        <f t="shared" si="5"/>
        <v>C-28</v>
      </c>
      <c r="E29" t="str">
        <f t="shared" si="0"/>
        <v>P-28</v>
      </c>
      <c r="F29" t="str">
        <f t="shared" si="1"/>
        <v>L-28</v>
      </c>
      <c r="G29" s="3">
        <v>1</v>
      </c>
      <c r="H29" s="12">
        <v>295</v>
      </c>
      <c r="I29" s="12">
        <v>540</v>
      </c>
      <c r="J29" s="12">
        <v>245</v>
      </c>
      <c r="K29" s="12">
        <f t="shared" si="2"/>
        <v>295</v>
      </c>
      <c r="L29" s="12">
        <f t="shared" si="3"/>
        <v>540</v>
      </c>
    </row>
    <row r="30" spans="1:12">
      <c r="A30" s="5" t="s">
        <v>85</v>
      </c>
      <c r="B30" s="24">
        <v>44540</v>
      </c>
      <c r="C30" t="str">
        <f t="shared" si="4"/>
        <v>D-29</v>
      </c>
      <c r="D30" t="str">
        <f t="shared" si="5"/>
        <v>C-29</v>
      </c>
      <c r="E30" t="str">
        <f t="shared" si="0"/>
        <v>P-29</v>
      </c>
      <c r="F30" t="str">
        <f t="shared" si="1"/>
        <v>L-29</v>
      </c>
      <c r="G30" s="3">
        <v>1</v>
      </c>
      <c r="H30" s="12">
        <v>1912</v>
      </c>
      <c r="I30" s="12">
        <v>3400</v>
      </c>
      <c r="J30" s="12">
        <v>1488</v>
      </c>
      <c r="K30" s="12">
        <f t="shared" si="2"/>
        <v>1912</v>
      </c>
      <c r="L30" s="12">
        <f t="shared" si="3"/>
        <v>3400</v>
      </c>
    </row>
    <row r="31" spans="1:12">
      <c r="A31" s="5" t="s">
        <v>87</v>
      </c>
      <c r="B31" s="24">
        <v>44540</v>
      </c>
      <c r="C31" t="str">
        <f t="shared" si="4"/>
        <v>D-30</v>
      </c>
      <c r="D31" t="str">
        <f t="shared" si="5"/>
        <v>C-30</v>
      </c>
      <c r="E31" t="str">
        <f t="shared" si="0"/>
        <v>P-30</v>
      </c>
      <c r="F31" t="str">
        <f t="shared" si="1"/>
        <v>L-30</v>
      </c>
      <c r="G31" s="3">
        <v>1</v>
      </c>
      <c r="H31" s="12">
        <v>1252</v>
      </c>
      <c r="I31" s="12">
        <v>2295</v>
      </c>
      <c r="J31" s="12">
        <v>1043</v>
      </c>
      <c r="K31" s="12">
        <f t="shared" si="2"/>
        <v>1252</v>
      </c>
      <c r="L31" s="12">
        <f t="shared" si="3"/>
        <v>2295</v>
      </c>
    </row>
    <row r="32" spans="1:12">
      <c r="A32" s="5" t="s">
        <v>88</v>
      </c>
      <c r="B32" s="24">
        <v>44541</v>
      </c>
      <c r="C32" t="str">
        <f t="shared" si="4"/>
        <v>D-31</v>
      </c>
      <c r="D32" t="str">
        <f t="shared" si="5"/>
        <v>C-31</v>
      </c>
      <c r="E32" t="str">
        <f t="shared" si="0"/>
        <v>P-31</v>
      </c>
      <c r="F32" t="str">
        <f t="shared" si="1"/>
        <v>L-31</v>
      </c>
      <c r="G32" s="3">
        <v>3</v>
      </c>
      <c r="H32" s="12">
        <v>1252</v>
      </c>
      <c r="I32" s="12">
        <v>2295</v>
      </c>
      <c r="J32" s="12">
        <v>3129</v>
      </c>
      <c r="K32" s="12">
        <f t="shared" si="2"/>
        <v>3756</v>
      </c>
      <c r="L32" s="12">
        <f t="shared" si="3"/>
        <v>6885</v>
      </c>
    </row>
    <row r="33" spans="1:12">
      <c r="A33" s="5" t="s">
        <v>91</v>
      </c>
      <c r="B33" s="24">
        <v>44541</v>
      </c>
      <c r="C33" t="str">
        <f t="shared" si="4"/>
        <v>D-32</v>
      </c>
      <c r="D33" t="str">
        <f t="shared" si="5"/>
        <v>C-32</v>
      </c>
      <c r="E33" t="str">
        <f t="shared" si="0"/>
        <v>P-32</v>
      </c>
      <c r="F33" t="str">
        <f t="shared" si="1"/>
        <v>L-32</v>
      </c>
      <c r="G33" s="3">
        <v>2</v>
      </c>
      <c r="H33" s="12">
        <v>420</v>
      </c>
      <c r="I33" s="12">
        <v>769</v>
      </c>
      <c r="J33" s="12">
        <v>698</v>
      </c>
      <c r="K33" s="12">
        <f t="shared" si="2"/>
        <v>840</v>
      </c>
      <c r="L33" s="12">
        <f t="shared" si="3"/>
        <v>1538</v>
      </c>
    </row>
    <row r="34" spans="1:12">
      <c r="A34" s="5" t="s">
        <v>92</v>
      </c>
      <c r="B34" s="24">
        <v>44541</v>
      </c>
      <c r="C34" t="str">
        <f t="shared" si="4"/>
        <v>D-33</v>
      </c>
      <c r="D34" t="str">
        <f t="shared" si="5"/>
        <v>C-33</v>
      </c>
      <c r="E34" t="str">
        <f t="shared" ref="E34:E65" si="6">"P-"&amp;ROW()-1</f>
        <v>P-33</v>
      </c>
      <c r="F34" t="str">
        <f t="shared" ref="F34:F65" si="7">"L-"&amp;ROW()-1</f>
        <v>L-33</v>
      </c>
      <c r="G34" s="3">
        <v>1</v>
      </c>
      <c r="H34" s="12">
        <v>1252</v>
      </c>
      <c r="I34" s="12">
        <v>2295</v>
      </c>
      <c r="J34" s="12">
        <v>1043</v>
      </c>
      <c r="K34" s="12">
        <f t="shared" ref="K34:K65" si="8">G34*H34</f>
        <v>1252</v>
      </c>
      <c r="L34" s="12">
        <f t="shared" ref="L34:L65" si="9">G34*I34</f>
        <v>2295</v>
      </c>
    </row>
    <row r="35" spans="1:12">
      <c r="A35" s="5" t="s">
        <v>93</v>
      </c>
      <c r="B35" s="24">
        <v>44541</v>
      </c>
      <c r="C35" t="str">
        <f t="shared" ref="C35:C66" si="10">"D-"&amp;ROW()-1</f>
        <v>D-34</v>
      </c>
      <c r="D35" t="str">
        <f t="shared" ref="D35:D66" si="11">"C-"&amp;ROW()-1</f>
        <v>C-34</v>
      </c>
      <c r="E35" t="str">
        <f t="shared" si="6"/>
        <v>P-34</v>
      </c>
      <c r="F35" t="str">
        <f t="shared" si="7"/>
        <v>L-34</v>
      </c>
      <c r="G35" s="3">
        <v>1</v>
      </c>
      <c r="H35" s="12">
        <v>420</v>
      </c>
      <c r="I35" s="12">
        <v>769</v>
      </c>
      <c r="J35" s="12">
        <v>349</v>
      </c>
      <c r="K35" s="12">
        <f t="shared" si="8"/>
        <v>420</v>
      </c>
      <c r="L35" s="12">
        <f t="shared" si="9"/>
        <v>769</v>
      </c>
    </row>
    <row r="36" spans="1:12">
      <c r="A36" s="5" t="s">
        <v>94</v>
      </c>
      <c r="B36" s="24">
        <v>44541</v>
      </c>
      <c r="C36" t="str">
        <f t="shared" si="10"/>
        <v>D-35</v>
      </c>
      <c r="D36" t="str">
        <f t="shared" si="11"/>
        <v>C-35</v>
      </c>
      <c r="E36" t="str">
        <f t="shared" si="6"/>
        <v>P-35</v>
      </c>
      <c r="F36" t="str">
        <f t="shared" si="7"/>
        <v>L-35</v>
      </c>
      <c r="G36" s="3">
        <v>1</v>
      </c>
      <c r="H36" s="12">
        <v>1266</v>
      </c>
      <c r="I36" s="12">
        <v>2320</v>
      </c>
      <c r="J36" s="12">
        <v>1054</v>
      </c>
      <c r="K36" s="12">
        <f t="shared" si="8"/>
        <v>1266</v>
      </c>
      <c r="L36" s="12">
        <f t="shared" si="9"/>
        <v>2320</v>
      </c>
    </row>
    <row r="37" spans="1:12">
      <c r="A37" s="5" t="s">
        <v>95</v>
      </c>
      <c r="B37" s="24">
        <v>44542</v>
      </c>
      <c r="C37" t="str">
        <f t="shared" si="10"/>
        <v>D-36</v>
      </c>
      <c r="D37" t="str">
        <f t="shared" si="11"/>
        <v>C-36</v>
      </c>
      <c r="E37" t="str">
        <f t="shared" si="6"/>
        <v>P-36</v>
      </c>
      <c r="F37" t="str">
        <f t="shared" si="7"/>
        <v>L-36</v>
      </c>
      <c r="G37" s="3">
        <v>4</v>
      </c>
      <c r="H37" s="12">
        <v>1266</v>
      </c>
      <c r="I37" s="12">
        <v>2320</v>
      </c>
      <c r="J37" s="12">
        <v>4216</v>
      </c>
      <c r="K37" s="12">
        <f t="shared" si="8"/>
        <v>5064</v>
      </c>
      <c r="L37" s="12">
        <f t="shared" si="9"/>
        <v>9280</v>
      </c>
    </row>
    <row r="38" spans="1:12">
      <c r="A38" s="5" t="s">
        <v>96</v>
      </c>
      <c r="B38" s="24">
        <v>44542</v>
      </c>
      <c r="C38" t="str">
        <f t="shared" si="10"/>
        <v>D-37</v>
      </c>
      <c r="D38" t="str">
        <f t="shared" si="11"/>
        <v>C-37</v>
      </c>
      <c r="E38" t="str">
        <f t="shared" si="6"/>
        <v>P-37</v>
      </c>
      <c r="F38" t="str">
        <f t="shared" si="7"/>
        <v>L-37</v>
      </c>
      <c r="G38" s="3">
        <v>4</v>
      </c>
      <c r="H38" s="12">
        <v>420</v>
      </c>
      <c r="I38" s="12">
        <v>769</v>
      </c>
      <c r="J38" s="12">
        <v>1396</v>
      </c>
      <c r="K38" s="12">
        <f t="shared" si="8"/>
        <v>1680</v>
      </c>
      <c r="L38" s="12">
        <f t="shared" si="9"/>
        <v>3076</v>
      </c>
    </row>
    <row r="39" spans="1:12">
      <c r="A39" s="5" t="s">
        <v>97</v>
      </c>
      <c r="B39" s="24">
        <v>44542</v>
      </c>
      <c r="C39" t="str">
        <f t="shared" si="10"/>
        <v>D-38</v>
      </c>
      <c r="D39" t="str">
        <f t="shared" si="11"/>
        <v>C-38</v>
      </c>
      <c r="E39" t="str">
        <f t="shared" si="6"/>
        <v>P-38</v>
      </c>
      <c r="F39" t="str">
        <f t="shared" si="7"/>
        <v>L-38</v>
      </c>
      <c r="G39" s="3">
        <v>2</v>
      </c>
      <c r="H39" s="12">
        <v>1252</v>
      </c>
      <c r="I39" s="12">
        <v>2295</v>
      </c>
      <c r="J39" s="12">
        <v>2086</v>
      </c>
      <c r="K39" s="12">
        <f t="shared" si="8"/>
        <v>2504</v>
      </c>
      <c r="L39" s="12">
        <f t="shared" si="9"/>
        <v>4590</v>
      </c>
    </row>
    <row r="40" spans="1:12">
      <c r="A40" s="5" t="s">
        <v>98</v>
      </c>
      <c r="B40" s="24">
        <v>44542</v>
      </c>
      <c r="C40" t="str">
        <f t="shared" si="10"/>
        <v>D-39</v>
      </c>
      <c r="D40" t="str">
        <f t="shared" si="11"/>
        <v>C-39</v>
      </c>
      <c r="E40" t="str">
        <f t="shared" si="6"/>
        <v>P-39</v>
      </c>
      <c r="F40" t="str">
        <f t="shared" si="7"/>
        <v>L-39</v>
      </c>
      <c r="G40" s="3">
        <v>1</v>
      </c>
      <c r="H40" s="12">
        <v>1266</v>
      </c>
      <c r="I40" s="12">
        <v>2320</v>
      </c>
      <c r="J40" s="12">
        <v>1054</v>
      </c>
      <c r="K40" s="12">
        <f t="shared" si="8"/>
        <v>1266</v>
      </c>
      <c r="L40" s="12">
        <f t="shared" si="9"/>
        <v>2320</v>
      </c>
    </row>
    <row r="41" spans="1:12">
      <c r="A41" s="5" t="s">
        <v>99</v>
      </c>
      <c r="B41" s="24">
        <v>44542</v>
      </c>
      <c r="C41" t="str">
        <f t="shared" si="10"/>
        <v>D-40</v>
      </c>
      <c r="D41" t="str">
        <f t="shared" si="11"/>
        <v>C-40</v>
      </c>
      <c r="E41" t="str">
        <f t="shared" si="6"/>
        <v>P-40</v>
      </c>
      <c r="F41" t="str">
        <f t="shared" si="7"/>
        <v>L-40</v>
      </c>
      <c r="G41" s="3">
        <v>1</v>
      </c>
      <c r="H41" s="12">
        <v>1266</v>
      </c>
      <c r="I41" s="12">
        <v>2320</v>
      </c>
      <c r="J41" s="12">
        <v>1054</v>
      </c>
      <c r="K41" s="12">
        <f t="shared" si="8"/>
        <v>1266</v>
      </c>
      <c r="L41" s="12">
        <f t="shared" si="9"/>
        <v>2320</v>
      </c>
    </row>
    <row r="42" spans="1:12">
      <c r="A42" s="5" t="s">
        <v>100</v>
      </c>
      <c r="B42" s="24">
        <v>44543</v>
      </c>
      <c r="C42" t="str">
        <f t="shared" si="10"/>
        <v>D-41</v>
      </c>
      <c r="D42" t="str">
        <f t="shared" si="11"/>
        <v>C-41</v>
      </c>
      <c r="E42" t="str">
        <f t="shared" si="6"/>
        <v>P-41</v>
      </c>
      <c r="F42" t="str">
        <f t="shared" si="7"/>
        <v>L-41</v>
      </c>
      <c r="G42" s="3">
        <v>3</v>
      </c>
      <c r="H42" s="12">
        <v>1266</v>
      </c>
      <c r="I42" s="12">
        <v>2320</v>
      </c>
      <c r="J42" s="12">
        <v>3162</v>
      </c>
      <c r="K42" s="12">
        <f t="shared" si="8"/>
        <v>3798</v>
      </c>
      <c r="L42" s="12">
        <f t="shared" si="9"/>
        <v>6960</v>
      </c>
    </row>
    <row r="43" spans="1:12">
      <c r="A43" s="5" t="s">
        <v>101</v>
      </c>
      <c r="B43" s="24">
        <v>44543</v>
      </c>
      <c r="C43" t="str">
        <f t="shared" si="10"/>
        <v>D-42</v>
      </c>
      <c r="D43" t="str">
        <f t="shared" si="11"/>
        <v>C-42</v>
      </c>
      <c r="E43" t="str">
        <f t="shared" si="6"/>
        <v>P-42</v>
      </c>
      <c r="F43" t="str">
        <f t="shared" si="7"/>
        <v>L-42</v>
      </c>
      <c r="G43" s="3">
        <v>1</v>
      </c>
      <c r="H43" s="12">
        <v>308</v>
      </c>
      <c r="I43" s="12">
        <v>565</v>
      </c>
      <c r="J43" s="12">
        <v>257</v>
      </c>
      <c r="K43" s="12">
        <f t="shared" si="8"/>
        <v>308</v>
      </c>
      <c r="L43" s="12">
        <f t="shared" si="9"/>
        <v>565</v>
      </c>
    </row>
    <row r="44" spans="1:12">
      <c r="A44" s="5" t="s">
        <v>103</v>
      </c>
      <c r="B44" s="24">
        <v>44543</v>
      </c>
      <c r="C44" t="str">
        <f t="shared" si="10"/>
        <v>D-43</v>
      </c>
      <c r="D44" t="str">
        <f t="shared" si="11"/>
        <v>C-43</v>
      </c>
      <c r="E44" t="str">
        <f t="shared" si="6"/>
        <v>P-43</v>
      </c>
      <c r="F44" t="str">
        <f t="shared" si="7"/>
        <v>L-43</v>
      </c>
      <c r="G44" s="3">
        <v>1</v>
      </c>
      <c r="H44" s="12">
        <v>1252</v>
      </c>
      <c r="I44" s="12">
        <v>2295</v>
      </c>
      <c r="J44" s="12">
        <v>1043</v>
      </c>
      <c r="K44" s="12">
        <f t="shared" si="8"/>
        <v>1252</v>
      </c>
      <c r="L44" s="12">
        <f t="shared" si="9"/>
        <v>2295</v>
      </c>
    </row>
    <row r="45" spans="1:12">
      <c r="A45" s="5" t="s">
        <v>104</v>
      </c>
      <c r="B45" s="24">
        <v>44543</v>
      </c>
      <c r="C45" t="str">
        <f t="shared" si="10"/>
        <v>D-44</v>
      </c>
      <c r="D45" t="str">
        <f t="shared" si="11"/>
        <v>C-44</v>
      </c>
      <c r="E45" t="str">
        <f t="shared" si="6"/>
        <v>P-44</v>
      </c>
      <c r="F45" t="str">
        <f t="shared" si="7"/>
        <v>L-44</v>
      </c>
      <c r="G45" s="3">
        <v>1</v>
      </c>
      <c r="H45" s="12">
        <v>1252</v>
      </c>
      <c r="I45" s="12">
        <v>2295</v>
      </c>
      <c r="J45" s="12">
        <v>1043</v>
      </c>
      <c r="K45" s="12">
        <f t="shared" si="8"/>
        <v>1252</v>
      </c>
      <c r="L45" s="12">
        <f t="shared" si="9"/>
        <v>2295</v>
      </c>
    </row>
    <row r="46" spans="1:12">
      <c r="A46" s="5" t="s">
        <v>105</v>
      </c>
      <c r="B46" s="24">
        <v>44544</v>
      </c>
      <c r="C46" t="str">
        <f t="shared" si="10"/>
        <v>D-45</v>
      </c>
      <c r="D46" t="str">
        <f t="shared" si="11"/>
        <v>C-45</v>
      </c>
      <c r="E46" t="str">
        <f t="shared" si="6"/>
        <v>P-45</v>
      </c>
      <c r="F46" t="str">
        <f t="shared" si="7"/>
        <v>L-45</v>
      </c>
      <c r="G46" s="3">
        <v>2</v>
      </c>
      <c r="H46" s="12">
        <v>1266</v>
      </c>
      <c r="I46" s="12">
        <v>2320</v>
      </c>
      <c r="J46" s="12">
        <v>2108</v>
      </c>
      <c r="K46" s="12">
        <f t="shared" si="8"/>
        <v>2532</v>
      </c>
      <c r="L46" s="12">
        <f t="shared" si="9"/>
        <v>4640</v>
      </c>
    </row>
    <row r="47" spans="1:12">
      <c r="A47" s="5" t="s">
        <v>106</v>
      </c>
      <c r="B47" s="24">
        <v>44544</v>
      </c>
      <c r="C47" t="str">
        <f t="shared" si="10"/>
        <v>D-46</v>
      </c>
      <c r="D47" t="str">
        <f t="shared" si="11"/>
        <v>C-46</v>
      </c>
      <c r="E47" t="str">
        <f t="shared" si="6"/>
        <v>P-46</v>
      </c>
      <c r="F47" t="str">
        <f t="shared" si="7"/>
        <v>L-46</v>
      </c>
      <c r="G47" s="3">
        <v>1</v>
      </c>
      <c r="H47" s="12">
        <v>1252</v>
      </c>
      <c r="I47" s="12">
        <v>2295</v>
      </c>
      <c r="J47" s="12">
        <v>1043</v>
      </c>
      <c r="K47" s="12">
        <f t="shared" si="8"/>
        <v>1252</v>
      </c>
      <c r="L47" s="12">
        <f t="shared" si="9"/>
        <v>2295</v>
      </c>
    </row>
    <row r="48" spans="1:12">
      <c r="A48" s="5" t="s">
        <v>107</v>
      </c>
      <c r="B48" s="24">
        <v>44544</v>
      </c>
      <c r="C48" t="str">
        <f t="shared" si="10"/>
        <v>D-47</v>
      </c>
      <c r="D48" t="str">
        <f t="shared" si="11"/>
        <v>C-47</v>
      </c>
      <c r="E48" t="str">
        <f t="shared" si="6"/>
        <v>P-47</v>
      </c>
      <c r="F48" t="str">
        <f t="shared" si="7"/>
        <v>L-47</v>
      </c>
      <c r="G48" s="3">
        <v>1</v>
      </c>
      <c r="H48" s="12">
        <v>420</v>
      </c>
      <c r="I48" s="12">
        <v>769</v>
      </c>
      <c r="J48" s="12">
        <v>349</v>
      </c>
      <c r="K48" s="12">
        <f t="shared" si="8"/>
        <v>420</v>
      </c>
      <c r="L48" s="12">
        <f t="shared" si="9"/>
        <v>769</v>
      </c>
    </row>
    <row r="49" spans="1:12">
      <c r="A49" s="5" t="s">
        <v>108</v>
      </c>
      <c r="B49" s="24">
        <v>44545</v>
      </c>
      <c r="C49" t="str">
        <f t="shared" si="10"/>
        <v>D-48</v>
      </c>
      <c r="D49" t="str">
        <f t="shared" si="11"/>
        <v>C-48</v>
      </c>
      <c r="E49" t="str">
        <f t="shared" si="6"/>
        <v>P-48</v>
      </c>
      <c r="F49" t="str">
        <f t="shared" si="7"/>
        <v>L-48</v>
      </c>
      <c r="G49" s="3">
        <v>1</v>
      </c>
      <c r="H49" s="12">
        <v>1266</v>
      </c>
      <c r="I49" s="12">
        <v>2320</v>
      </c>
      <c r="J49" s="12">
        <v>1054</v>
      </c>
      <c r="K49" s="12">
        <f t="shared" si="8"/>
        <v>1266</v>
      </c>
      <c r="L49" s="12">
        <f t="shared" si="9"/>
        <v>2320</v>
      </c>
    </row>
    <row r="50" spans="1:12">
      <c r="A50" s="5" t="s">
        <v>109</v>
      </c>
      <c r="B50" s="24">
        <v>44546</v>
      </c>
      <c r="C50" t="str">
        <f t="shared" si="10"/>
        <v>D-49</v>
      </c>
      <c r="D50" t="str">
        <f t="shared" si="11"/>
        <v>C-49</v>
      </c>
      <c r="E50" t="str">
        <f t="shared" si="6"/>
        <v>P-49</v>
      </c>
      <c r="F50" t="str">
        <f t="shared" si="7"/>
        <v>L-49</v>
      </c>
      <c r="G50" s="3">
        <v>2</v>
      </c>
      <c r="H50" s="12">
        <v>1252</v>
      </c>
      <c r="I50" s="12">
        <v>2295</v>
      </c>
      <c r="J50" s="12">
        <v>2086</v>
      </c>
      <c r="K50" s="12">
        <f t="shared" si="8"/>
        <v>2504</v>
      </c>
      <c r="L50" s="12">
        <f t="shared" si="9"/>
        <v>4590</v>
      </c>
    </row>
    <row r="51" spans="1:12">
      <c r="A51" s="5" t="s">
        <v>110</v>
      </c>
      <c r="B51" s="24">
        <v>44546</v>
      </c>
      <c r="C51" t="str">
        <f t="shared" si="10"/>
        <v>D-50</v>
      </c>
      <c r="D51" t="str">
        <f t="shared" si="11"/>
        <v>C-50</v>
      </c>
      <c r="E51" t="str">
        <f t="shared" si="6"/>
        <v>P-50</v>
      </c>
      <c r="F51" t="str">
        <f t="shared" si="7"/>
        <v>L-50</v>
      </c>
      <c r="G51" s="3">
        <v>2</v>
      </c>
      <c r="H51" s="12">
        <v>1252</v>
      </c>
      <c r="I51" s="12">
        <v>2295</v>
      </c>
      <c r="J51" s="12">
        <v>2086</v>
      </c>
      <c r="K51" s="12">
        <f t="shared" si="8"/>
        <v>2504</v>
      </c>
      <c r="L51" s="12">
        <f t="shared" si="9"/>
        <v>4590</v>
      </c>
    </row>
    <row r="52" spans="1:12">
      <c r="A52" s="5" t="s">
        <v>111</v>
      </c>
      <c r="B52" s="24">
        <v>44546</v>
      </c>
      <c r="C52" t="str">
        <f t="shared" si="10"/>
        <v>D-51</v>
      </c>
      <c r="D52" t="str">
        <f t="shared" si="11"/>
        <v>C-51</v>
      </c>
      <c r="E52" t="str">
        <f t="shared" si="6"/>
        <v>P-51</v>
      </c>
      <c r="F52" t="str">
        <f t="shared" si="7"/>
        <v>L-51</v>
      </c>
      <c r="G52" s="3">
        <v>1</v>
      </c>
      <c r="H52" s="12">
        <v>1266</v>
      </c>
      <c r="I52" s="12">
        <v>2320</v>
      </c>
      <c r="J52" s="12">
        <v>1054</v>
      </c>
      <c r="K52" s="12">
        <f t="shared" si="8"/>
        <v>1266</v>
      </c>
      <c r="L52" s="12">
        <f t="shared" si="9"/>
        <v>2320</v>
      </c>
    </row>
    <row r="53" spans="1:12">
      <c r="A53" s="5" t="s">
        <v>114</v>
      </c>
      <c r="B53" s="24">
        <v>44547</v>
      </c>
      <c r="C53" t="str">
        <f t="shared" si="10"/>
        <v>D-52</v>
      </c>
      <c r="D53" t="str">
        <f t="shared" si="11"/>
        <v>C-52</v>
      </c>
      <c r="E53" t="str">
        <f t="shared" si="6"/>
        <v>P-52</v>
      </c>
      <c r="F53" t="str">
        <f t="shared" si="7"/>
        <v>L-52</v>
      </c>
      <c r="G53" s="3">
        <v>2</v>
      </c>
      <c r="H53" s="12">
        <v>1266</v>
      </c>
      <c r="I53" s="12">
        <v>2320</v>
      </c>
      <c r="J53" s="12">
        <v>2108</v>
      </c>
      <c r="K53" s="12">
        <f t="shared" si="8"/>
        <v>2532</v>
      </c>
      <c r="L53" s="12">
        <f t="shared" si="9"/>
        <v>4640</v>
      </c>
    </row>
    <row r="54" spans="1:12">
      <c r="A54" s="5" t="s">
        <v>115</v>
      </c>
      <c r="B54" s="24">
        <v>44547</v>
      </c>
      <c r="C54" t="str">
        <f t="shared" si="10"/>
        <v>D-53</v>
      </c>
      <c r="D54" t="str">
        <f t="shared" si="11"/>
        <v>C-53</v>
      </c>
      <c r="E54" t="str">
        <f t="shared" si="6"/>
        <v>P-53</v>
      </c>
      <c r="F54" t="str">
        <f t="shared" si="7"/>
        <v>L-53</v>
      </c>
      <c r="G54" s="3">
        <v>1</v>
      </c>
      <c r="H54" s="12">
        <v>420</v>
      </c>
      <c r="I54" s="12">
        <v>769</v>
      </c>
      <c r="J54" s="12">
        <v>349</v>
      </c>
      <c r="K54" s="12">
        <f t="shared" si="8"/>
        <v>420</v>
      </c>
      <c r="L54" s="12">
        <f t="shared" si="9"/>
        <v>769</v>
      </c>
    </row>
    <row r="55" spans="1:12">
      <c r="A55" s="5" t="s">
        <v>116</v>
      </c>
      <c r="B55" s="24">
        <v>44547</v>
      </c>
      <c r="C55" t="str">
        <f t="shared" si="10"/>
        <v>D-54</v>
      </c>
      <c r="D55" t="str">
        <f t="shared" si="11"/>
        <v>C-54</v>
      </c>
      <c r="E55" t="str">
        <f t="shared" si="6"/>
        <v>P-54</v>
      </c>
      <c r="F55" t="str">
        <f t="shared" si="7"/>
        <v>L-54</v>
      </c>
      <c r="G55" s="3">
        <v>1</v>
      </c>
      <c r="H55" s="12">
        <v>1266</v>
      </c>
      <c r="I55" s="12">
        <v>2320</v>
      </c>
      <c r="J55" s="12">
        <v>1054</v>
      </c>
      <c r="K55" s="12">
        <f t="shared" si="8"/>
        <v>1266</v>
      </c>
      <c r="L55" s="12">
        <f t="shared" si="9"/>
        <v>2320</v>
      </c>
    </row>
    <row r="56" spans="1:12">
      <c r="A56" s="5" t="s">
        <v>117</v>
      </c>
      <c r="B56" s="24">
        <v>44548</v>
      </c>
      <c r="C56" t="str">
        <f t="shared" si="10"/>
        <v>D-55</v>
      </c>
      <c r="D56" t="str">
        <f t="shared" si="11"/>
        <v>C-55</v>
      </c>
      <c r="E56" t="str">
        <f t="shared" si="6"/>
        <v>P-55</v>
      </c>
      <c r="F56" t="str">
        <f t="shared" si="7"/>
        <v>L-55</v>
      </c>
      <c r="G56" s="3">
        <v>4</v>
      </c>
      <c r="H56" s="12">
        <v>308</v>
      </c>
      <c r="I56" s="12">
        <v>565</v>
      </c>
      <c r="J56" s="12">
        <v>1028</v>
      </c>
      <c r="K56" s="12">
        <f t="shared" si="8"/>
        <v>1232</v>
      </c>
      <c r="L56" s="12">
        <f t="shared" si="9"/>
        <v>2260</v>
      </c>
    </row>
    <row r="57" spans="1:12">
      <c r="A57" s="5" t="s">
        <v>118</v>
      </c>
      <c r="B57" s="24">
        <v>44548</v>
      </c>
      <c r="C57" t="str">
        <f t="shared" si="10"/>
        <v>D-56</v>
      </c>
      <c r="D57" t="str">
        <f t="shared" si="11"/>
        <v>C-56</v>
      </c>
      <c r="E57" t="str">
        <f t="shared" si="6"/>
        <v>P-56</v>
      </c>
      <c r="F57" t="str">
        <f t="shared" si="7"/>
        <v>L-56</v>
      </c>
      <c r="G57" s="3">
        <v>4</v>
      </c>
      <c r="H57" s="12">
        <v>1266</v>
      </c>
      <c r="I57" s="12">
        <v>2320</v>
      </c>
      <c r="J57" s="12">
        <v>4216</v>
      </c>
      <c r="K57" s="12">
        <f t="shared" si="8"/>
        <v>5064</v>
      </c>
      <c r="L57" s="12">
        <f t="shared" si="9"/>
        <v>9280</v>
      </c>
    </row>
    <row r="58" spans="1:12">
      <c r="A58" s="5" t="s">
        <v>119</v>
      </c>
      <c r="B58" s="24">
        <v>44548</v>
      </c>
      <c r="C58" t="str">
        <f t="shared" si="10"/>
        <v>D-57</v>
      </c>
      <c r="D58" t="str">
        <f t="shared" si="11"/>
        <v>C-57</v>
      </c>
      <c r="E58" t="str">
        <f t="shared" si="6"/>
        <v>P-57</v>
      </c>
      <c r="F58" t="str">
        <f t="shared" si="7"/>
        <v>L-57</v>
      </c>
      <c r="G58" s="3">
        <v>3</v>
      </c>
      <c r="H58" s="12">
        <v>1266</v>
      </c>
      <c r="I58" s="12">
        <v>2320</v>
      </c>
      <c r="J58" s="12">
        <v>3162</v>
      </c>
      <c r="K58" s="12">
        <f t="shared" si="8"/>
        <v>3798</v>
      </c>
      <c r="L58" s="12">
        <f t="shared" si="9"/>
        <v>6960</v>
      </c>
    </row>
    <row r="59" spans="1:12">
      <c r="A59" s="5" t="s">
        <v>121</v>
      </c>
      <c r="B59" s="24">
        <v>44548</v>
      </c>
      <c r="C59" t="str">
        <f t="shared" si="10"/>
        <v>D-58</v>
      </c>
      <c r="D59" t="str">
        <f t="shared" si="11"/>
        <v>C-58</v>
      </c>
      <c r="E59" t="str">
        <f t="shared" si="6"/>
        <v>P-58</v>
      </c>
      <c r="F59" t="str">
        <f t="shared" si="7"/>
        <v>L-58</v>
      </c>
      <c r="G59" s="3">
        <v>3</v>
      </c>
      <c r="H59" s="12">
        <v>420</v>
      </c>
      <c r="I59" s="12">
        <v>769</v>
      </c>
      <c r="J59" s="12">
        <v>1047</v>
      </c>
      <c r="K59" s="12">
        <f t="shared" si="8"/>
        <v>1260</v>
      </c>
      <c r="L59" s="12">
        <f t="shared" si="9"/>
        <v>2307</v>
      </c>
    </row>
    <row r="60" spans="1:12">
      <c r="A60" s="5" t="s">
        <v>122</v>
      </c>
      <c r="B60" s="24">
        <v>44548</v>
      </c>
      <c r="C60" t="str">
        <f t="shared" si="10"/>
        <v>D-59</v>
      </c>
      <c r="D60" t="str">
        <f t="shared" si="11"/>
        <v>C-59</v>
      </c>
      <c r="E60" t="str">
        <f t="shared" si="6"/>
        <v>P-59</v>
      </c>
      <c r="F60" t="str">
        <f t="shared" si="7"/>
        <v>L-59</v>
      </c>
      <c r="G60" s="3">
        <v>3</v>
      </c>
      <c r="H60" s="12">
        <v>1252</v>
      </c>
      <c r="I60" s="12">
        <v>2295</v>
      </c>
      <c r="J60" s="12">
        <v>3129</v>
      </c>
      <c r="K60" s="12">
        <f t="shared" si="8"/>
        <v>3756</v>
      </c>
      <c r="L60" s="12">
        <f t="shared" si="9"/>
        <v>6885</v>
      </c>
    </row>
    <row r="61" spans="1:12">
      <c r="A61" s="5" t="s">
        <v>123</v>
      </c>
      <c r="B61" s="24">
        <v>44548</v>
      </c>
      <c r="C61" t="str">
        <f t="shared" si="10"/>
        <v>D-60</v>
      </c>
      <c r="D61" t="str">
        <f t="shared" si="11"/>
        <v>C-60</v>
      </c>
      <c r="E61" t="str">
        <f t="shared" si="6"/>
        <v>P-60</v>
      </c>
      <c r="F61" t="str">
        <f t="shared" si="7"/>
        <v>L-60</v>
      </c>
      <c r="G61" s="3">
        <v>1</v>
      </c>
      <c r="H61" s="12">
        <v>1252</v>
      </c>
      <c r="I61" s="12">
        <v>2295</v>
      </c>
      <c r="J61" s="12">
        <v>1043</v>
      </c>
      <c r="K61" s="12">
        <f t="shared" si="8"/>
        <v>1252</v>
      </c>
      <c r="L61" s="12">
        <f t="shared" si="9"/>
        <v>2295</v>
      </c>
    </row>
    <row r="62" spans="1:12">
      <c r="A62" s="5" t="s">
        <v>124</v>
      </c>
      <c r="B62" s="24">
        <v>44548</v>
      </c>
      <c r="C62" t="str">
        <f t="shared" si="10"/>
        <v>D-61</v>
      </c>
      <c r="D62" t="str">
        <f t="shared" si="11"/>
        <v>C-61</v>
      </c>
      <c r="E62" t="str">
        <f t="shared" si="6"/>
        <v>P-61</v>
      </c>
      <c r="F62" t="str">
        <f t="shared" si="7"/>
        <v>L-61</v>
      </c>
      <c r="G62" s="3">
        <v>1</v>
      </c>
      <c r="H62" s="12">
        <v>1266</v>
      </c>
      <c r="I62" s="12">
        <v>2320</v>
      </c>
      <c r="J62" s="12">
        <v>1054</v>
      </c>
      <c r="K62" s="12">
        <f t="shared" si="8"/>
        <v>1266</v>
      </c>
      <c r="L62" s="12">
        <f t="shared" si="9"/>
        <v>2320</v>
      </c>
    </row>
    <row r="63" spans="1:12">
      <c r="A63" s="5" t="s">
        <v>125</v>
      </c>
      <c r="B63" s="24">
        <v>44549</v>
      </c>
      <c r="C63" t="str">
        <f t="shared" si="10"/>
        <v>D-62</v>
      </c>
      <c r="D63" t="str">
        <f t="shared" si="11"/>
        <v>C-62</v>
      </c>
      <c r="E63" t="str">
        <f t="shared" si="6"/>
        <v>P-62</v>
      </c>
      <c r="F63" t="str">
        <f t="shared" si="7"/>
        <v>L-62</v>
      </c>
      <c r="G63" s="3">
        <v>4</v>
      </c>
      <c r="H63" s="12">
        <v>1266</v>
      </c>
      <c r="I63" s="12">
        <v>2320</v>
      </c>
      <c r="J63" s="12">
        <v>4216</v>
      </c>
      <c r="K63" s="12">
        <f t="shared" si="8"/>
        <v>5064</v>
      </c>
      <c r="L63" s="12">
        <f t="shared" si="9"/>
        <v>9280</v>
      </c>
    </row>
    <row r="64" spans="1:12">
      <c r="A64" s="5" t="s">
        <v>127</v>
      </c>
      <c r="B64" s="24">
        <v>44549</v>
      </c>
      <c r="C64" t="str">
        <f t="shared" si="10"/>
        <v>D-63</v>
      </c>
      <c r="D64" t="str">
        <f t="shared" si="11"/>
        <v>C-63</v>
      </c>
      <c r="E64" t="str">
        <f t="shared" si="6"/>
        <v>P-63</v>
      </c>
      <c r="F64" t="str">
        <f t="shared" si="7"/>
        <v>L-63</v>
      </c>
      <c r="G64" s="3">
        <v>4</v>
      </c>
      <c r="H64" s="12">
        <v>295</v>
      </c>
      <c r="I64" s="12">
        <v>540</v>
      </c>
      <c r="J64" s="12">
        <v>980</v>
      </c>
      <c r="K64" s="12">
        <f t="shared" si="8"/>
        <v>1180</v>
      </c>
      <c r="L64" s="12">
        <f t="shared" si="9"/>
        <v>2160</v>
      </c>
    </row>
    <row r="65" spans="1:12">
      <c r="A65" s="5" t="s">
        <v>129</v>
      </c>
      <c r="B65" s="24">
        <v>44549</v>
      </c>
      <c r="C65" t="str">
        <f t="shared" si="10"/>
        <v>D-64</v>
      </c>
      <c r="D65" t="str">
        <f t="shared" si="11"/>
        <v>C-64</v>
      </c>
      <c r="E65" t="str">
        <f t="shared" si="6"/>
        <v>P-64</v>
      </c>
      <c r="F65" t="str">
        <f t="shared" si="7"/>
        <v>L-64</v>
      </c>
      <c r="G65" s="3">
        <v>4</v>
      </c>
      <c r="H65" s="12">
        <v>1252</v>
      </c>
      <c r="I65" s="12">
        <v>2295</v>
      </c>
      <c r="J65" s="12">
        <v>4172</v>
      </c>
      <c r="K65" s="12">
        <f t="shared" si="8"/>
        <v>5008</v>
      </c>
      <c r="L65" s="12">
        <f t="shared" si="9"/>
        <v>9180</v>
      </c>
    </row>
    <row r="66" spans="1:12">
      <c r="A66" s="5" t="s">
        <v>130</v>
      </c>
      <c r="B66" s="24">
        <v>44549</v>
      </c>
      <c r="C66" t="str">
        <f t="shared" si="10"/>
        <v>D-65</v>
      </c>
      <c r="D66" t="str">
        <f t="shared" si="11"/>
        <v>C-65</v>
      </c>
      <c r="E66" t="str">
        <f t="shared" ref="E66:E89" si="12">"P-"&amp;ROW()-1</f>
        <v>P-65</v>
      </c>
      <c r="F66" t="str">
        <f t="shared" ref="F66:F89" si="13">"L-"&amp;ROW()-1</f>
        <v>L-65</v>
      </c>
      <c r="G66" s="3">
        <v>4</v>
      </c>
      <c r="H66" s="12">
        <v>1898</v>
      </c>
      <c r="I66" s="12">
        <v>3375</v>
      </c>
      <c r="J66" s="12">
        <v>5908</v>
      </c>
      <c r="K66" s="12">
        <f t="shared" ref="K66:K89" si="14">G66*H66</f>
        <v>7592</v>
      </c>
      <c r="L66" s="12">
        <f t="shared" ref="L66:L89" si="15">G66*I66</f>
        <v>13500</v>
      </c>
    </row>
    <row r="67" spans="1:12">
      <c r="A67" s="5" t="s">
        <v>132</v>
      </c>
      <c r="B67" s="24">
        <v>44549</v>
      </c>
      <c r="C67" t="str">
        <f t="shared" ref="C67:C89" si="16">"D-"&amp;ROW()-1</f>
        <v>D-66</v>
      </c>
      <c r="D67" t="str">
        <f t="shared" ref="D67:D89" si="17">"C-"&amp;ROW()-1</f>
        <v>C-66</v>
      </c>
      <c r="E67" t="str">
        <f t="shared" si="12"/>
        <v>P-66</v>
      </c>
      <c r="F67" t="str">
        <f t="shared" si="13"/>
        <v>L-66</v>
      </c>
      <c r="G67" s="3">
        <v>4</v>
      </c>
      <c r="H67" s="12">
        <v>1252</v>
      </c>
      <c r="I67" s="12">
        <v>2295</v>
      </c>
      <c r="J67" s="12">
        <v>4172</v>
      </c>
      <c r="K67" s="12">
        <f t="shared" si="14"/>
        <v>5008</v>
      </c>
      <c r="L67" s="12">
        <f t="shared" si="15"/>
        <v>9180</v>
      </c>
    </row>
    <row r="68" spans="1:12">
      <c r="A68" s="5" t="s">
        <v>133</v>
      </c>
      <c r="B68" s="24">
        <v>44549</v>
      </c>
      <c r="C68" t="str">
        <f t="shared" si="16"/>
        <v>D-67</v>
      </c>
      <c r="D68" t="str">
        <f t="shared" si="17"/>
        <v>C-67</v>
      </c>
      <c r="E68" t="str">
        <f t="shared" si="12"/>
        <v>P-67</v>
      </c>
      <c r="F68" t="str">
        <f t="shared" si="13"/>
        <v>L-67</v>
      </c>
      <c r="G68" s="3">
        <v>4</v>
      </c>
      <c r="H68" s="12">
        <v>1252</v>
      </c>
      <c r="I68" s="12">
        <v>2295</v>
      </c>
      <c r="J68" s="12">
        <v>4172</v>
      </c>
      <c r="K68" s="12">
        <f t="shared" si="14"/>
        <v>5008</v>
      </c>
      <c r="L68" s="12">
        <f t="shared" si="15"/>
        <v>9180</v>
      </c>
    </row>
    <row r="69" spans="1:12">
      <c r="A69" s="5" t="s">
        <v>134</v>
      </c>
      <c r="B69" s="24">
        <v>44549</v>
      </c>
      <c r="C69" t="str">
        <f t="shared" si="16"/>
        <v>D-68</v>
      </c>
      <c r="D69" t="str">
        <f t="shared" si="17"/>
        <v>C-68</v>
      </c>
      <c r="E69" t="str">
        <f t="shared" si="12"/>
        <v>P-68</v>
      </c>
      <c r="F69" t="str">
        <f t="shared" si="13"/>
        <v>L-68</v>
      </c>
      <c r="G69" s="3">
        <v>4</v>
      </c>
      <c r="H69" s="12">
        <v>1252</v>
      </c>
      <c r="I69" s="12">
        <v>2295</v>
      </c>
      <c r="J69" s="12">
        <v>4172</v>
      </c>
      <c r="K69" s="12">
        <f t="shared" si="14"/>
        <v>5008</v>
      </c>
      <c r="L69" s="12">
        <f t="shared" si="15"/>
        <v>9180</v>
      </c>
    </row>
    <row r="70" spans="1:12">
      <c r="A70" s="5" t="s">
        <v>135</v>
      </c>
      <c r="B70" s="24">
        <v>44549</v>
      </c>
      <c r="C70" t="str">
        <f t="shared" si="16"/>
        <v>D-69</v>
      </c>
      <c r="D70" t="str">
        <f t="shared" si="17"/>
        <v>C-69</v>
      </c>
      <c r="E70" t="str">
        <f t="shared" si="12"/>
        <v>P-69</v>
      </c>
      <c r="F70" t="str">
        <f t="shared" si="13"/>
        <v>L-69</v>
      </c>
      <c r="G70" s="3">
        <v>2</v>
      </c>
      <c r="H70" s="12">
        <v>295</v>
      </c>
      <c r="I70" s="12">
        <v>540</v>
      </c>
      <c r="J70" s="12">
        <v>490</v>
      </c>
      <c r="K70" s="12">
        <f t="shared" si="14"/>
        <v>590</v>
      </c>
      <c r="L70" s="12">
        <f t="shared" si="15"/>
        <v>1080</v>
      </c>
    </row>
    <row r="71" spans="1:12">
      <c r="A71" s="5" t="s">
        <v>137</v>
      </c>
      <c r="B71" s="24">
        <v>44549</v>
      </c>
      <c r="C71" t="str">
        <f t="shared" si="16"/>
        <v>D-70</v>
      </c>
      <c r="D71" t="str">
        <f t="shared" si="17"/>
        <v>C-70</v>
      </c>
      <c r="E71" t="str">
        <f t="shared" si="12"/>
        <v>P-70</v>
      </c>
      <c r="F71" t="str">
        <f t="shared" si="13"/>
        <v>L-70</v>
      </c>
      <c r="G71" s="3">
        <v>2</v>
      </c>
      <c r="H71" s="12">
        <v>1252</v>
      </c>
      <c r="I71" s="12">
        <v>2295</v>
      </c>
      <c r="J71" s="12">
        <v>2086</v>
      </c>
      <c r="K71" s="12">
        <f t="shared" si="14"/>
        <v>2504</v>
      </c>
      <c r="L71" s="12">
        <f t="shared" si="15"/>
        <v>4590</v>
      </c>
    </row>
    <row r="72" spans="1:12">
      <c r="A72" s="5" t="s">
        <v>139</v>
      </c>
      <c r="B72" s="24">
        <v>44549</v>
      </c>
      <c r="C72" t="str">
        <f t="shared" si="16"/>
        <v>D-71</v>
      </c>
      <c r="D72" t="str">
        <f t="shared" si="17"/>
        <v>C-71</v>
      </c>
      <c r="E72" t="str">
        <f t="shared" si="12"/>
        <v>P-71</v>
      </c>
      <c r="F72" t="str">
        <f t="shared" si="13"/>
        <v>L-71</v>
      </c>
      <c r="G72" s="3">
        <v>1</v>
      </c>
      <c r="H72" s="12">
        <v>1266</v>
      </c>
      <c r="I72" s="12">
        <v>2320</v>
      </c>
      <c r="J72" s="12">
        <v>1054</v>
      </c>
      <c r="K72" s="12">
        <f t="shared" si="14"/>
        <v>1266</v>
      </c>
      <c r="L72" s="12">
        <f t="shared" si="15"/>
        <v>2320</v>
      </c>
    </row>
    <row r="73" spans="1:12">
      <c r="A73" s="5" t="s">
        <v>140</v>
      </c>
      <c r="B73" s="24">
        <v>44550</v>
      </c>
      <c r="C73" t="str">
        <f t="shared" si="16"/>
        <v>D-72</v>
      </c>
      <c r="D73" t="str">
        <f t="shared" si="17"/>
        <v>C-72</v>
      </c>
      <c r="E73" t="str">
        <f t="shared" si="12"/>
        <v>P-72</v>
      </c>
      <c r="F73" t="str">
        <f t="shared" si="13"/>
        <v>L-72</v>
      </c>
      <c r="G73" s="3">
        <v>4</v>
      </c>
      <c r="H73" s="12">
        <v>1898</v>
      </c>
      <c r="I73" s="12">
        <v>3375</v>
      </c>
      <c r="J73" s="12">
        <v>5908</v>
      </c>
      <c r="K73" s="12">
        <f t="shared" si="14"/>
        <v>7592</v>
      </c>
      <c r="L73" s="12">
        <f t="shared" si="15"/>
        <v>13500</v>
      </c>
    </row>
    <row r="74" spans="1:12">
      <c r="A74" s="5" t="s">
        <v>141</v>
      </c>
      <c r="B74" s="24">
        <v>44550</v>
      </c>
      <c r="C74" t="str">
        <f t="shared" si="16"/>
        <v>D-73</v>
      </c>
      <c r="D74" t="str">
        <f t="shared" si="17"/>
        <v>C-73</v>
      </c>
      <c r="E74" t="str">
        <f t="shared" si="12"/>
        <v>P-73</v>
      </c>
      <c r="F74" t="str">
        <f t="shared" si="13"/>
        <v>L-73</v>
      </c>
      <c r="G74" s="3">
        <v>4</v>
      </c>
      <c r="H74" s="12">
        <v>1252</v>
      </c>
      <c r="I74" s="12">
        <v>2295</v>
      </c>
      <c r="J74" s="12">
        <v>4172</v>
      </c>
      <c r="K74" s="12">
        <f t="shared" si="14"/>
        <v>5008</v>
      </c>
      <c r="L74" s="12">
        <f t="shared" si="15"/>
        <v>9180</v>
      </c>
    </row>
    <row r="75" spans="1:12">
      <c r="A75" s="5" t="s">
        <v>142</v>
      </c>
      <c r="B75" s="24">
        <v>44550</v>
      </c>
      <c r="C75" t="str">
        <f t="shared" si="16"/>
        <v>D-74</v>
      </c>
      <c r="D75" t="str">
        <f t="shared" si="17"/>
        <v>C-74</v>
      </c>
      <c r="E75" t="str">
        <f t="shared" si="12"/>
        <v>P-74</v>
      </c>
      <c r="F75" t="str">
        <f t="shared" si="13"/>
        <v>L-74</v>
      </c>
      <c r="G75" s="3">
        <v>3</v>
      </c>
      <c r="H75" s="12">
        <v>295</v>
      </c>
      <c r="I75" s="12">
        <v>540</v>
      </c>
      <c r="J75" s="12">
        <v>735</v>
      </c>
      <c r="K75" s="12">
        <f t="shared" si="14"/>
        <v>885</v>
      </c>
      <c r="L75" s="12">
        <f t="shared" si="15"/>
        <v>1620</v>
      </c>
    </row>
    <row r="76" spans="1:12">
      <c r="A76" s="5" t="s">
        <v>144</v>
      </c>
      <c r="B76" s="24">
        <v>44550</v>
      </c>
      <c r="C76" t="str">
        <f t="shared" si="16"/>
        <v>D-75</v>
      </c>
      <c r="D76" t="str">
        <f t="shared" si="17"/>
        <v>C-75</v>
      </c>
      <c r="E76" t="str">
        <f t="shared" si="12"/>
        <v>P-75</v>
      </c>
      <c r="F76" t="str">
        <f t="shared" si="13"/>
        <v>L-75</v>
      </c>
      <c r="G76" s="3">
        <v>1</v>
      </c>
      <c r="H76" s="12">
        <v>1266</v>
      </c>
      <c r="I76" s="12">
        <v>2320</v>
      </c>
      <c r="J76" s="12">
        <v>1054</v>
      </c>
      <c r="K76" s="12">
        <f t="shared" si="14"/>
        <v>1266</v>
      </c>
      <c r="L76" s="12">
        <f t="shared" si="15"/>
        <v>2320</v>
      </c>
    </row>
    <row r="77" spans="1:12">
      <c r="A77" s="5" t="s">
        <v>145</v>
      </c>
      <c r="B77" s="24">
        <v>44550</v>
      </c>
      <c r="C77" t="str">
        <f t="shared" si="16"/>
        <v>D-76</v>
      </c>
      <c r="D77" t="str">
        <f t="shared" si="17"/>
        <v>C-76</v>
      </c>
      <c r="E77" t="str">
        <f t="shared" si="12"/>
        <v>P-76</v>
      </c>
      <c r="F77" t="str">
        <f t="shared" si="13"/>
        <v>L-76</v>
      </c>
      <c r="G77" s="3">
        <v>1</v>
      </c>
      <c r="H77" s="12">
        <v>1266</v>
      </c>
      <c r="I77" s="12">
        <v>2320</v>
      </c>
      <c r="J77" s="12">
        <v>1054</v>
      </c>
      <c r="K77" s="12">
        <f t="shared" si="14"/>
        <v>1266</v>
      </c>
      <c r="L77" s="12">
        <f t="shared" si="15"/>
        <v>2320</v>
      </c>
    </row>
    <row r="78" spans="1:12">
      <c r="A78" s="5" t="s">
        <v>146</v>
      </c>
      <c r="B78" s="24">
        <v>44551</v>
      </c>
      <c r="C78" t="str">
        <f t="shared" si="16"/>
        <v>D-77</v>
      </c>
      <c r="D78" t="str">
        <f t="shared" si="17"/>
        <v>C-77</v>
      </c>
      <c r="E78" t="str">
        <f t="shared" si="12"/>
        <v>P-77</v>
      </c>
      <c r="F78" t="str">
        <f t="shared" si="13"/>
        <v>L-77</v>
      </c>
      <c r="G78" s="3">
        <v>3</v>
      </c>
      <c r="H78" s="12">
        <v>1266</v>
      </c>
      <c r="I78" s="12">
        <v>2320</v>
      </c>
      <c r="J78" s="12">
        <v>3162</v>
      </c>
      <c r="K78" s="12">
        <f t="shared" si="14"/>
        <v>3798</v>
      </c>
      <c r="L78" s="12">
        <f t="shared" si="15"/>
        <v>6960</v>
      </c>
    </row>
    <row r="79" spans="1:12">
      <c r="A79" s="5" t="s">
        <v>148</v>
      </c>
      <c r="B79" s="24">
        <v>44551</v>
      </c>
      <c r="C79" t="str">
        <f t="shared" si="16"/>
        <v>D-78</v>
      </c>
      <c r="D79" t="str">
        <f t="shared" si="17"/>
        <v>C-78</v>
      </c>
      <c r="E79" t="str">
        <f t="shared" si="12"/>
        <v>P-78</v>
      </c>
      <c r="F79" t="str">
        <f t="shared" si="13"/>
        <v>L-78</v>
      </c>
      <c r="G79" s="3">
        <v>2</v>
      </c>
      <c r="H79" s="12">
        <v>420</v>
      </c>
      <c r="I79" s="12">
        <v>769</v>
      </c>
      <c r="J79" s="12">
        <v>698</v>
      </c>
      <c r="K79" s="12">
        <f t="shared" si="14"/>
        <v>840</v>
      </c>
      <c r="L79" s="12">
        <f t="shared" si="15"/>
        <v>1538</v>
      </c>
    </row>
    <row r="80" spans="1:12">
      <c r="A80" s="5" t="s">
        <v>149</v>
      </c>
      <c r="B80" s="24">
        <v>44552</v>
      </c>
      <c r="C80" t="str">
        <f t="shared" si="16"/>
        <v>D-79</v>
      </c>
      <c r="D80" t="str">
        <f t="shared" si="17"/>
        <v>C-79</v>
      </c>
      <c r="E80" t="str">
        <f t="shared" si="12"/>
        <v>P-79</v>
      </c>
      <c r="F80" t="str">
        <f t="shared" si="13"/>
        <v>L-79</v>
      </c>
      <c r="G80" s="3">
        <v>3</v>
      </c>
      <c r="H80" s="12">
        <v>1266</v>
      </c>
      <c r="I80" s="12">
        <v>2320</v>
      </c>
      <c r="J80" s="12">
        <v>3162</v>
      </c>
      <c r="K80" s="12">
        <f t="shared" si="14"/>
        <v>3798</v>
      </c>
      <c r="L80" s="12">
        <f t="shared" si="15"/>
        <v>6960</v>
      </c>
    </row>
    <row r="81" spans="1:12">
      <c r="A81" s="5" t="s">
        <v>150</v>
      </c>
      <c r="B81" s="24">
        <v>44552</v>
      </c>
      <c r="C81" t="str">
        <f t="shared" si="16"/>
        <v>D-80</v>
      </c>
      <c r="D81" t="str">
        <f t="shared" si="17"/>
        <v>C-80</v>
      </c>
      <c r="E81" t="str">
        <f t="shared" si="12"/>
        <v>P-80</v>
      </c>
      <c r="F81" t="str">
        <f t="shared" si="13"/>
        <v>L-80</v>
      </c>
      <c r="G81" s="3">
        <v>3</v>
      </c>
      <c r="H81" s="12">
        <v>1252</v>
      </c>
      <c r="I81" s="12">
        <v>2295</v>
      </c>
      <c r="J81" s="12">
        <v>3129</v>
      </c>
      <c r="K81" s="12">
        <f t="shared" si="14"/>
        <v>3756</v>
      </c>
      <c r="L81" s="12">
        <f t="shared" si="15"/>
        <v>6885</v>
      </c>
    </row>
    <row r="82" spans="1:12">
      <c r="A82" s="5" t="s">
        <v>151</v>
      </c>
      <c r="B82" s="24">
        <v>44552</v>
      </c>
      <c r="C82" t="str">
        <f t="shared" si="16"/>
        <v>D-81</v>
      </c>
      <c r="D82" t="str">
        <f t="shared" si="17"/>
        <v>C-81</v>
      </c>
      <c r="E82" t="str">
        <f t="shared" si="12"/>
        <v>P-81</v>
      </c>
      <c r="F82" t="str">
        <f t="shared" si="13"/>
        <v>L-81</v>
      </c>
      <c r="G82" s="3">
        <v>1</v>
      </c>
      <c r="H82" s="12">
        <v>308</v>
      </c>
      <c r="I82" s="12">
        <v>565</v>
      </c>
      <c r="J82" s="12">
        <v>257</v>
      </c>
      <c r="K82" s="12">
        <f t="shared" si="14"/>
        <v>308</v>
      </c>
      <c r="L82" s="12">
        <f t="shared" si="15"/>
        <v>565</v>
      </c>
    </row>
    <row r="83" spans="1:12">
      <c r="A83" s="5" t="s">
        <v>152</v>
      </c>
      <c r="B83" s="24">
        <v>44552</v>
      </c>
      <c r="C83" t="str">
        <f t="shared" si="16"/>
        <v>D-82</v>
      </c>
      <c r="D83" t="str">
        <f t="shared" si="17"/>
        <v>C-82</v>
      </c>
      <c r="E83" t="str">
        <f t="shared" si="12"/>
        <v>P-82</v>
      </c>
      <c r="F83" t="str">
        <f t="shared" si="13"/>
        <v>L-82</v>
      </c>
      <c r="G83" s="3">
        <v>1</v>
      </c>
      <c r="H83" s="12">
        <v>1252</v>
      </c>
      <c r="I83" s="12">
        <v>2295</v>
      </c>
      <c r="J83" s="12">
        <v>1043</v>
      </c>
      <c r="K83" s="12">
        <f t="shared" si="14"/>
        <v>1252</v>
      </c>
      <c r="L83" s="12">
        <f t="shared" si="15"/>
        <v>2295</v>
      </c>
    </row>
    <row r="84" spans="1:12">
      <c r="A84" s="5" t="s">
        <v>153</v>
      </c>
      <c r="B84" s="24">
        <v>44552</v>
      </c>
      <c r="C84" t="str">
        <f t="shared" si="16"/>
        <v>D-83</v>
      </c>
      <c r="D84" t="str">
        <f t="shared" si="17"/>
        <v>C-83</v>
      </c>
      <c r="E84" t="str">
        <f t="shared" si="12"/>
        <v>P-83</v>
      </c>
      <c r="F84" t="str">
        <f t="shared" si="13"/>
        <v>L-83</v>
      </c>
      <c r="G84" s="3">
        <v>1</v>
      </c>
      <c r="H84" s="12">
        <v>1252</v>
      </c>
      <c r="I84" s="12">
        <v>2295</v>
      </c>
      <c r="J84" s="12">
        <v>1043</v>
      </c>
      <c r="K84" s="12">
        <f t="shared" si="14"/>
        <v>1252</v>
      </c>
      <c r="L84" s="12">
        <f t="shared" si="15"/>
        <v>2295</v>
      </c>
    </row>
    <row r="85" spans="1:12">
      <c r="A85" s="5" t="s">
        <v>154</v>
      </c>
      <c r="B85" s="24">
        <v>44552</v>
      </c>
      <c r="C85" t="str">
        <f t="shared" si="16"/>
        <v>D-84</v>
      </c>
      <c r="D85" t="str">
        <f t="shared" si="17"/>
        <v>C-84</v>
      </c>
      <c r="E85" t="str">
        <f t="shared" si="12"/>
        <v>P-84</v>
      </c>
      <c r="F85" t="str">
        <f t="shared" si="13"/>
        <v>L-84</v>
      </c>
      <c r="G85" s="3">
        <v>1</v>
      </c>
      <c r="H85" s="12">
        <v>1266</v>
      </c>
      <c r="I85" s="12">
        <v>2320</v>
      </c>
      <c r="J85" s="12">
        <v>1054</v>
      </c>
      <c r="K85" s="12">
        <f t="shared" si="14"/>
        <v>1266</v>
      </c>
      <c r="L85" s="12">
        <f t="shared" si="15"/>
        <v>2320</v>
      </c>
    </row>
    <row r="86" spans="1:12">
      <c r="A86" s="5" t="s">
        <v>155</v>
      </c>
      <c r="B86" s="24">
        <v>44553</v>
      </c>
      <c r="C86" t="str">
        <f t="shared" si="16"/>
        <v>D-85</v>
      </c>
      <c r="D86" t="str">
        <f t="shared" si="17"/>
        <v>C-85</v>
      </c>
      <c r="E86" t="str">
        <f t="shared" si="12"/>
        <v>P-85</v>
      </c>
      <c r="F86" t="str">
        <f t="shared" si="13"/>
        <v>L-85</v>
      </c>
      <c r="G86" s="3">
        <v>1</v>
      </c>
      <c r="H86" s="12">
        <v>1266</v>
      </c>
      <c r="I86" s="12">
        <v>2320</v>
      </c>
      <c r="J86" s="12">
        <v>1054</v>
      </c>
      <c r="K86" s="12">
        <f t="shared" si="14"/>
        <v>1266</v>
      </c>
      <c r="L86" s="12">
        <f t="shared" si="15"/>
        <v>2320</v>
      </c>
    </row>
    <row r="87" spans="1:12">
      <c r="A87" s="5" t="s">
        <v>156</v>
      </c>
      <c r="B87" s="24">
        <v>44553</v>
      </c>
      <c r="C87" t="str">
        <f t="shared" si="16"/>
        <v>D-86</v>
      </c>
      <c r="D87" t="str">
        <f t="shared" si="17"/>
        <v>C-86</v>
      </c>
      <c r="E87" t="str">
        <f t="shared" si="12"/>
        <v>P-86</v>
      </c>
      <c r="F87" t="str">
        <f t="shared" si="13"/>
        <v>L-86</v>
      </c>
      <c r="G87" s="3">
        <v>1</v>
      </c>
      <c r="H87" s="12">
        <v>1252</v>
      </c>
      <c r="I87" s="12">
        <v>2295</v>
      </c>
      <c r="J87" s="12">
        <v>1043</v>
      </c>
      <c r="K87" s="12">
        <f t="shared" si="14"/>
        <v>1252</v>
      </c>
      <c r="L87" s="12">
        <f t="shared" si="15"/>
        <v>2295</v>
      </c>
    </row>
    <row r="88" spans="1:12">
      <c r="A88" s="5" t="s">
        <v>157</v>
      </c>
      <c r="B88" s="24">
        <v>44553</v>
      </c>
      <c r="C88" t="str">
        <f t="shared" si="16"/>
        <v>D-87</v>
      </c>
      <c r="D88" t="str">
        <f t="shared" si="17"/>
        <v>C-87</v>
      </c>
      <c r="E88" t="str">
        <f t="shared" si="12"/>
        <v>P-87</v>
      </c>
      <c r="F88" t="str">
        <f t="shared" si="13"/>
        <v>L-87</v>
      </c>
      <c r="G88" s="3">
        <v>1</v>
      </c>
      <c r="H88" s="12">
        <v>295</v>
      </c>
      <c r="I88" s="12">
        <v>540</v>
      </c>
      <c r="J88" s="12">
        <v>245</v>
      </c>
      <c r="K88" s="12">
        <f t="shared" si="14"/>
        <v>295</v>
      </c>
      <c r="L88" s="12">
        <f t="shared" si="15"/>
        <v>540</v>
      </c>
    </row>
    <row r="89" spans="1:12">
      <c r="A89" s="18" t="s">
        <v>158</v>
      </c>
      <c r="B89" s="24">
        <v>44554</v>
      </c>
      <c r="C89" t="str">
        <f t="shared" si="16"/>
        <v>D-88</v>
      </c>
      <c r="D89" t="str">
        <f t="shared" si="17"/>
        <v>C-88</v>
      </c>
      <c r="E89" t="str">
        <f t="shared" si="12"/>
        <v>P-88</v>
      </c>
      <c r="F89" t="str">
        <f t="shared" si="13"/>
        <v>L-88</v>
      </c>
      <c r="G89" s="3">
        <v>4</v>
      </c>
      <c r="H89" s="12">
        <v>1252</v>
      </c>
      <c r="I89" s="12">
        <v>2295</v>
      </c>
      <c r="J89" s="12">
        <v>4172</v>
      </c>
      <c r="K89" s="12">
        <f t="shared" si="14"/>
        <v>5008</v>
      </c>
      <c r="L89" s="12">
        <f t="shared" si="15"/>
        <v>9180</v>
      </c>
    </row>
    <row r="90" spans="1:12">
      <c r="B90" s="3"/>
      <c r="G90" s="3"/>
    </row>
  </sheetData>
  <dataConsolidate/>
  <conditionalFormatting sqref="A1:A89">
    <cfRule type="containsText" dxfId="11" priority="1" operator="containsText" text="blanks">
      <formula>NOT(ISERROR(SEARCH("blanks",A1)))</formula>
    </cfRule>
    <cfRule type="duplicateValues" dxfId="10" priority="2"/>
  </conditionalFormatting>
  <conditionalFormatting sqref="B1:B89">
    <cfRule type="containsText" dxfId="9" priority="3" operator="containsText" text="blanks">
      <formula>NOT(ISERROR(SEARCH("blanks",B1)))</formula>
    </cfRule>
  </conditionalFormatting>
  <conditionalFormatting sqref="G2:L89">
    <cfRule type="containsText" dxfId="8" priority="5" operator="containsText" text="blanks">
      <formula>NOT(ISERROR(SEARCH("blanks",G2)))</formula>
    </cfRule>
  </conditionalFormatting>
  <conditionalFormatting sqref="H2:I89">
    <cfRule type="cellIs" dxfId="7" priority="4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3385-5AFA-484D-AE5F-02D83F9BBAEF}">
  <dimension ref="A1:D1048576"/>
  <sheetViews>
    <sheetView workbookViewId="0">
      <selection activeCell="F88" sqref="F88"/>
    </sheetView>
  </sheetViews>
  <sheetFormatPr defaultRowHeight="14.4"/>
  <cols>
    <col min="1" max="1" width="14.44140625" customWidth="1"/>
    <col min="2" max="2" width="16.109375" customWidth="1"/>
    <col min="3" max="3" width="20.88671875" customWidth="1"/>
    <col min="4" max="4" width="19.44140625" customWidth="1"/>
  </cols>
  <sheetData>
    <row r="1" spans="1:4">
      <c r="A1" s="17" t="s">
        <v>176</v>
      </c>
      <c r="B1" s="17" t="s">
        <v>5</v>
      </c>
      <c r="C1" s="16" t="s">
        <v>6</v>
      </c>
      <c r="D1" s="16" t="s">
        <v>7</v>
      </c>
    </row>
    <row r="2" spans="1:4">
      <c r="A2" s="3" t="str">
        <f t="shared" ref="A2:A33" si="0">"C-"&amp;ROW()-1</f>
        <v>C-1</v>
      </c>
      <c r="B2" s="28">
        <v>39</v>
      </c>
      <c r="C2" t="s">
        <v>21</v>
      </c>
      <c r="D2" t="s">
        <v>169</v>
      </c>
    </row>
    <row r="3" spans="1:4">
      <c r="A3" s="3" t="str">
        <f t="shared" si="0"/>
        <v>C-2</v>
      </c>
      <c r="B3" s="28">
        <v>44</v>
      </c>
      <c r="C3" t="s">
        <v>21</v>
      </c>
      <c r="D3" t="s">
        <v>170</v>
      </c>
    </row>
    <row r="4" spans="1:4">
      <c r="A4" s="3" t="str">
        <f t="shared" si="0"/>
        <v>C-3</v>
      </c>
      <c r="B4" s="28">
        <v>37</v>
      </c>
      <c r="C4" t="s">
        <v>21</v>
      </c>
      <c r="D4" t="s">
        <v>170</v>
      </c>
    </row>
    <row r="5" spans="1:4">
      <c r="A5" s="3" t="str">
        <f t="shared" si="0"/>
        <v>C-4</v>
      </c>
      <c r="B5" s="28">
        <v>31</v>
      </c>
      <c r="C5" t="s">
        <v>36</v>
      </c>
      <c r="D5" t="s">
        <v>169</v>
      </c>
    </row>
    <row r="6" spans="1:4">
      <c r="A6" s="3" t="str">
        <f t="shared" si="0"/>
        <v>C-5</v>
      </c>
      <c r="B6" s="28">
        <v>37</v>
      </c>
      <c r="C6" t="s">
        <v>21</v>
      </c>
      <c r="D6" t="s">
        <v>169</v>
      </c>
    </row>
    <row r="7" spans="1:4">
      <c r="A7" s="3" t="str">
        <f t="shared" si="0"/>
        <v>C-6</v>
      </c>
      <c r="B7" s="28">
        <v>24</v>
      </c>
      <c r="C7" t="s">
        <v>43</v>
      </c>
      <c r="D7" t="s">
        <v>169</v>
      </c>
    </row>
    <row r="8" spans="1:4">
      <c r="A8" s="3" t="str">
        <f t="shared" si="0"/>
        <v>C-7</v>
      </c>
      <c r="B8" s="28">
        <v>37</v>
      </c>
      <c r="C8" t="s">
        <v>21</v>
      </c>
      <c r="D8" t="s">
        <v>170</v>
      </c>
    </row>
    <row r="9" spans="1:4">
      <c r="A9" s="3" t="str">
        <f t="shared" si="0"/>
        <v>C-8</v>
      </c>
      <c r="B9" s="28">
        <v>31</v>
      </c>
      <c r="C9" t="s">
        <v>36</v>
      </c>
      <c r="D9" t="s">
        <v>169</v>
      </c>
    </row>
    <row r="10" spans="1:4">
      <c r="A10" s="3" t="str">
        <f t="shared" si="0"/>
        <v>C-9</v>
      </c>
      <c r="B10" s="28">
        <v>39</v>
      </c>
      <c r="C10" t="s">
        <v>21</v>
      </c>
      <c r="D10" t="s">
        <v>169</v>
      </c>
    </row>
    <row r="11" spans="1:4">
      <c r="A11" s="3" t="str">
        <f t="shared" si="0"/>
        <v>C-10</v>
      </c>
      <c r="B11" s="28">
        <v>42</v>
      </c>
      <c r="C11" t="s">
        <v>21</v>
      </c>
      <c r="D11" t="s">
        <v>170</v>
      </c>
    </row>
    <row r="12" spans="1:4">
      <c r="A12" s="3" t="str">
        <f t="shared" si="0"/>
        <v>C-11</v>
      </c>
      <c r="B12" s="28">
        <v>35</v>
      </c>
      <c r="C12" t="s">
        <v>21</v>
      </c>
      <c r="D12" t="s">
        <v>169</v>
      </c>
    </row>
    <row r="13" spans="1:4">
      <c r="A13" s="3" t="str">
        <f t="shared" si="0"/>
        <v>C-12</v>
      </c>
      <c r="B13" s="28">
        <v>37</v>
      </c>
      <c r="C13" s="29" t="s">
        <v>21</v>
      </c>
      <c r="D13" t="s">
        <v>169</v>
      </c>
    </row>
    <row r="14" spans="1:4">
      <c r="A14" s="3" t="str">
        <f t="shared" si="0"/>
        <v>C-13</v>
      </c>
      <c r="B14" s="28">
        <v>23</v>
      </c>
      <c r="C14" t="s">
        <v>43</v>
      </c>
      <c r="D14" t="s">
        <v>170</v>
      </c>
    </row>
    <row r="15" spans="1:4">
      <c r="A15" s="3" t="str">
        <f t="shared" si="0"/>
        <v>C-14</v>
      </c>
      <c r="B15" s="28">
        <v>27</v>
      </c>
      <c r="C15" t="s">
        <v>36</v>
      </c>
      <c r="D15" t="s">
        <v>170</v>
      </c>
    </row>
    <row r="16" spans="1:4">
      <c r="A16" s="3" t="str">
        <f t="shared" si="0"/>
        <v>C-15</v>
      </c>
      <c r="B16" s="28">
        <v>36</v>
      </c>
      <c r="C16" s="29" t="s">
        <v>21</v>
      </c>
      <c r="D16" t="s">
        <v>170</v>
      </c>
    </row>
    <row r="17" spans="1:4">
      <c r="A17" s="3" t="str">
        <f t="shared" si="0"/>
        <v>C-16</v>
      </c>
      <c r="B17" s="28">
        <v>47</v>
      </c>
      <c r="C17" t="s">
        <v>21</v>
      </c>
      <c r="D17" t="s">
        <v>170</v>
      </c>
    </row>
    <row r="18" spans="1:4">
      <c r="A18" s="3" t="str">
        <f t="shared" si="0"/>
        <v>C-17</v>
      </c>
      <c r="B18" s="28">
        <v>30</v>
      </c>
      <c r="C18" t="s">
        <v>36</v>
      </c>
      <c r="D18" t="s">
        <v>170</v>
      </c>
    </row>
    <row r="19" spans="1:4">
      <c r="A19" s="3" t="str">
        <f t="shared" si="0"/>
        <v>C-18</v>
      </c>
      <c r="B19" s="28">
        <v>38</v>
      </c>
      <c r="C19" t="s">
        <v>21</v>
      </c>
      <c r="D19" t="s">
        <v>170</v>
      </c>
    </row>
    <row r="20" spans="1:4">
      <c r="A20" s="3" t="str">
        <f t="shared" si="0"/>
        <v>C-19</v>
      </c>
      <c r="B20" s="28">
        <v>19</v>
      </c>
      <c r="C20" t="s">
        <v>43</v>
      </c>
      <c r="D20" t="s">
        <v>169</v>
      </c>
    </row>
    <row r="21" spans="1:4">
      <c r="A21" s="3" t="str">
        <f t="shared" si="0"/>
        <v>C-20</v>
      </c>
      <c r="B21" s="28">
        <v>30</v>
      </c>
      <c r="C21" t="s">
        <v>36</v>
      </c>
      <c r="D21" t="s">
        <v>169</v>
      </c>
    </row>
    <row r="22" spans="1:4">
      <c r="A22" s="3" t="str">
        <f t="shared" si="0"/>
        <v>C-21</v>
      </c>
      <c r="B22" s="28">
        <v>39</v>
      </c>
      <c r="C22" t="s">
        <v>21</v>
      </c>
      <c r="D22" t="s">
        <v>169</v>
      </c>
    </row>
    <row r="23" spans="1:4">
      <c r="A23" s="3" t="str">
        <f t="shared" si="0"/>
        <v>C-22</v>
      </c>
      <c r="B23" s="28">
        <v>35</v>
      </c>
      <c r="C23" t="s">
        <v>21</v>
      </c>
      <c r="D23" t="s">
        <v>169</v>
      </c>
    </row>
    <row r="24" spans="1:4">
      <c r="A24" s="3" t="str">
        <f t="shared" si="0"/>
        <v>C-23</v>
      </c>
      <c r="B24" s="28">
        <v>33</v>
      </c>
      <c r="C24" t="s">
        <v>36</v>
      </c>
      <c r="D24" t="s">
        <v>169</v>
      </c>
    </row>
    <row r="25" spans="1:4">
      <c r="A25" s="3" t="str">
        <f t="shared" si="0"/>
        <v>C-24</v>
      </c>
      <c r="B25" s="28">
        <v>41</v>
      </c>
      <c r="C25" t="s">
        <v>21</v>
      </c>
      <c r="D25" t="s">
        <v>169</v>
      </c>
    </row>
    <row r="26" spans="1:4">
      <c r="A26" s="3" t="str">
        <f t="shared" si="0"/>
        <v>C-25</v>
      </c>
      <c r="B26" s="28">
        <v>34</v>
      </c>
      <c r="C26" t="s">
        <v>36</v>
      </c>
      <c r="D26" t="s">
        <v>169</v>
      </c>
    </row>
    <row r="27" spans="1:4">
      <c r="A27" s="3" t="str">
        <f t="shared" si="0"/>
        <v>C-26</v>
      </c>
      <c r="B27" s="28">
        <v>40</v>
      </c>
      <c r="C27" t="s">
        <v>21</v>
      </c>
      <c r="D27" t="s">
        <v>170</v>
      </c>
    </row>
    <row r="28" spans="1:4">
      <c r="A28" s="3" t="str">
        <f t="shared" si="0"/>
        <v>C-27</v>
      </c>
      <c r="B28" s="28">
        <v>26</v>
      </c>
      <c r="C28" t="s">
        <v>36</v>
      </c>
      <c r="D28" t="s">
        <v>170</v>
      </c>
    </row>
    <row r="29" spans="1:4">
      <c r="A29" s="3" t="str">
        <f t="shared" si="0"/>
        <v>C-28</v>
      </c>
      <c r="B29" s="28">
        <v>34</v>
      </c>
      <c r="C29" t="s">
        <v>36</v>
      </c>
      <c r="D29" t="s">
        <v>170</v>
      </c>
    </row>
    <row r="30" spans="1:4">
      <c r="A30" s="3" t="str">
        <f t="shared" si="0"/>
        <v>C-29</v>
      </c>
      <c r="B30" s="28">
        <v>34</v>
      </c>
      <c r="C30" t="s">
        <v>36</v>
      </c>
      <c r="D30" t="s">
        <v>169</v>
      </c>
    </row>
    <row r="31" spans="1:4">
      <c r="A31" s="3" t="str">
        <f t="shared" si="0"/>
        <v>C-30</v>
      </c>
      <c r="B31" s="28">
        <v>38</v>
      </c>
      <c r="C31" t="s">
        <v>21</v>
      </c>
      <c r="D31" t="s">
        <v>170</v>
      </c>
    </row>
    <row r="32" spans="1:4">
      <c r="A32" s="3" t="str">
        <f t="shared" si="0"/>
        <v>C-31</v>
      </c>
      <c r="B32" s="28">
        <v>24</v>
      </c>
      <c r="C32" t="s">
        <v>43</v>
      </c>
      <c r="D32" t="s">
        <v>169</v>
      </c>
    </row>
    <row r="33" spans="1:4">
      <c r="A33" s="3" t="str">
        <f t="shared" si="0"/>
        <v>C-32</v>
      </c>
      <c r="B33" s="28">
        <v>41</v>
      </c>
      <c r="C33" t="s">
        <v>21</v>
      </c>
      <c r="D33" t="s">
        <v>169</v>
      </c>
    </row>
    <row r="34" spans="1:4">
      <c r="A34" s="3" t="str">
        <f t="shared" ref="A34:A65" si="1">"C-"&amp;ROW()-1</f>
        <v>C-33</v>
      </c>
      <c r="B34" s="28">
        <v>27</v>
      </c>
      <c r="C34" t="s">
        <v>36</v>
      </c>
      <c r="D34" t="s">
        <v>170</v>
      </c>
    </row>
    <row r="35" spans="1:4">
      <c r="A35" s="3" t="str">
        <f t="shared" si="1"/>
        <v>C-34</v>
      </c>
      <c r="B35" s="28">
        <v>37</v>
      </c>
      <c r="C35" t="s">
        <v>21</v>
      </c>
      <c r="D35" t="s">
        <v>170</v>
      </c>
    </row>
    <row r="36" spans="1:4">
      <c r="A36" s="3" t="str">
        <f t="shared" si="1"/>
        <v>C-35</v>
      </c>
      <c r="B36" s="28">
        <v>38</v>
      </c>
      <c r="C36" t="s">
        <v>21</v>
      </c>
      <c r="D36" t="s">
        <v>169</v>
      </c>
    </row>
    <row r="37" spans="1:4">
      <c r="A37" s="3" t="str">
        <f t="shared" si="1"/>
        <v>C-36</v>
      </c>
      <c r="B37" s="28">
        <v>36</v>
      </c>
      <c r="C37" t="s">
        <v>21</v>
      </c>
      <c r="D37" t="s">
        <v>169</v>
      </c>
    </row>
    <row r="38" spans="1:4">
      <c r="A38" s="3" t="str">
        <f t="shared" si="1"/>
        <v>C-37</v>
      </c>
      <c r="B38" s="28">
        <v>37</v>
      </c>
      <c r="C38" t="s">
        <v>21</v>
      </c>
      <c r="D38" t="s">
        <v>170</v>
      </c>
    </row>
    <row r="39" spans="1:4">
      <c r="A39" s="3" t="str">
        <f t="shared" si="1"/>
        <v>C-38</v>
      </c>
      <c r="B39" s="28">
        <v>34</v>
      </c>
      <c r="C39" t="s">
        <v>36</v>
      </c>
      <c r="D39" t="s">
        <v>170</v>
      </c>
    </row>
    <row r="40" spans="1:4">
      <c r="A40" s="3" t="str">
        <f t="shared" si="1"/>
        <v>C-39</v>
      </c>
      <c r="B40" s="28">
        <v>35</v>
      </c>
      <c r="C40" t="s">
        <v>21</v>
      </c>
      <c r="D40" t="s">
        <v>169</v>
      </c>
    </row>
    <row r="41" spans="1:4">
      <c r="A41" s="3" t="str">
        <f t="shared" si="1"/>
        <v>C-40</v>
      </c>
      <c r="B41" s="28">
        <v>38</v>
      </c>
      <c r="C41" t="s">
        <v>21</v>
      </c>
      <c r="D41" t="s">
        <v>169</v>
      </c>
    </row>
    <row r="42" spans="1:4">
      <c r="A42" s="3" t="str">
        <f t="shared" si="1"/>
        <v>C-41</v>
      </c>
      <c r="B42" s="28">
        <v>32</v>
      </c>
      <c r="C42" t="s">
        <v>36</v>
      </c>
      <c r="D42" t="s">
        <v>169</v>
      </c>
    </row>
    <row r="43" spans="1:4">
      <c r="A43" s="3" t="str">
        <f t="shared" si="1"/>
        <v>C-42</v>
      </c>
      <c r="B43" s="28">
        <v>40</v>
      </c>
      <c r="C43" t="s">
        <v>21</v>
      </c>
      <c r="D43" t="s">
        <v>169</v>
      </c>
    </row>
    <row r="44" spans="1:4">
      <c r="A44" s="3" t="str">
        <f t="shared" si="1"/>
        <v>C-43</v>
      </c>
      <c r="B44" s="28">
        <v>44</v>
      </c>
      <c r="C44" t="s">
        <v>21</v>
      </c>
      <c r="D44" t="s">
        <v>169</v>
      </c>
    </row>
    <row r="45" spans="1:4">
      <c r="A45" s="3" t="str">
        <f t="shared" si="1"/>
        <v>C-44</v>
      </c>
      <c r="B45" s="28">
        <v>49</v>
      </c>
      <c r="C45" t="s">
        <v>21</v>
      </c>
      <c r="D45" t="s">
        <v>170</v>
      </c>
    </row>
    <row r="46" spans="1:4">
      <c r="A46" s="3" t="str">
        <f t="shared" si="1"/>
        <v>C-45</v>
      </c>
      <c r="B46" s="28">
        <v>30</v>
      </c>
      <c r="C46" t="s">
        <v>36</v>
      </c>
      <c r="D46" t="s">
        <v>169</v>
      </c>
    </row>
    <row r="47" spans="1:4">
      <c r="A47" s="3" t="str">
        <f t="shared" si="1"/>
        <v>C-46</v>
      </c>
      <c r="B47" s="28">
        <v>32</v>
      </c>
      <c r="C47" t="s">
        <v>36</v>
      </c>
      <c r="D47" t="s">
        <v>170</v>
      </c>
    </row>
    <row r="48" spans="1:4">
      <c r="A48" s="3" t="str">
        <f t="shared" si="1"/>
        <v>C-47</v>
      </c>
      <c r="B48" s="28">
        <v>32</v>
      </c>
      <c r="C48" t="s">
        <v>36</v>
      </c>
      <c r="D48" t="s">
        <v>169</v>
      </c>
    </row>
    <row r="49" spans="1:4">
      <c r="A49" s="3" t="str">
        <f t="shared" si="1"/>
        <v>C-48</v>
      </c>
      <c r="B49" s="28">
        <v>29</v>
      </c>
      <c r="C49" t="s">
        <v>36</v>
      </c>
      <c r="D49" t="s">
        <v>169</v>
      </c>
    </row>
    <row r="50" spans="1:4">
      <c r="A50" s="3" t="str">
        <f t="shared" si="1"/>
        <v>C-49</v>
      </c>
      <c r="B50" s="28">
        <v>33</v>
      </c>
      <c r="C50" t="s">
        <v>36</v>
      </c>
      <c r="D50" t="s">
        <v>169</v>
      </c>
    </row>
    <row r="51" spans="1:4">
      <c r="A51" s="3" t="str">
        <f t="shared" si="1"/>
        <v>C-50</v>
      </c>
      <c r="B51" s="28">
        <v>38</v>
      </c>
      <c r="C51" t="s">
        <v>21</v>
      </c>
      <c r="D51" t="s">
        <v>170</v>
      </c>
    </row>
    <row r="52" spans="1:4">
      <c r="A52" s="3" t="str">
        <f t="shared" si="1"/>
        <v>C-51</v>
      </c>
      <c r="B52" s="28">
        <v>27</v>
      </c>
      <c r="C52" t="s">
        <v>36</v>
      </c>
      <c r="D52" t="s">
        <v>169</v>
      </c>
    </row>
    <row r="53" spans="1:4">
      <c r="A53" s="3" t="str">
        <f t="shared" si="1"/>
        <v>C-52</v>
      </c>
      <c r="B53" s="28">
        <v>37</v>
      </c>
      <c r="C53" t="s">
        <v>21</v>
      </c>
      <c r="D53" t="s">
        <v>169</v>
      </c>
    </row>
    <row r="54" spans="1:4">
      <c r="A54" s="3" t="str">
        <f t="shared" si="1"/>
        <v>C-53</v>
      </c>
      <c r="B54" s="28">
        <v>31</v>
      </c>
      <c r="C54" t="s">
        <v>36</v>
      </c>
      <c r="D54" t="s">
        <v>170</v>
      </c>
    </row>
    <row r="55" spans="1:4">
      <c r="A55" s="3" t="str">
        <f t="shared" si="1"/>
        <v>C-54</v>
      </c>
      <c r="B55" s="28">
        <v>42</v>
      </c>
      <c r="C55" t="s">
        <v>21</v>
      </c>
      <c r="D55" t="s">
        <v>169</v>
      </c>
    </row>
    <row r="56" spans="1:4">
      <c r="A56" s="3" t="str">
        <f t="shared" si="1"/>
        <v>C-55</v>
      </c>
      <c r="B56" s="28">
        <v>35</v>
      </c>
      <c r="C56" t="s">
        <v>21</v>
      </c>
      <c r="D56" t="s">
        <v>169</v>
      </c>
    </row>
    <row r="57" spans="1:4">
      <c r="A57" s="3" t="str">
        <f t="shared" si="1"/>
        <v>C-56</v>
      </c>
      <c r="B57" s="28">
        <v>38</v>
      </c>
      <c r="C57" t="s">
        <v>21</v>
      </c>
      <c r="D57" t="s">
        <v>169</v>
      </c>
    </row>
    <row r="58" spans="1:4">
      <c r="A58" s="3" t="str">
        <f t="shared" si="1"/>
        <v>C-57</v>
      </c>
      <c r="B58" s="28">
        <v>24</v>
      </c>
      <c r="C58" t="s">
        <v>43</v>
      </c>
      <c r="D58" t="s">
        <v>169</v>
      </c>
    </row>
    <row r="59" spans="1:4">
      <c r="A59" s="3" t="str">
        <f t="shared" si="1"/>
        <v>C-58</v>
      </c>
      <c r="B59" s="28">
        <v>26</v>
      </c>
      <c r="C59" t="s">
        <v>36</v>
      </c>
      <c r="D59" t="s">
        <v>169</v>
      </c>
    </row>
    <row r="60" spans="1:4">
      <c r="A60" s="3" t="str">
        <f t="shared" si="1"/>
        <v>C-59</v>
      </c>
      <c r="B60" s="28">
        <v>39</v>
      </c>
      <c r="C60" t="s">
        <v>21</v>
      </c>
      <c r="D60" t="s">
        <v>170</v>
      </c>
    </row>
    <row r="61" spans="1:4">
      <c r="A61" s="3" t="str">
        <f t="shared" si="1"/>
        <v>C-60</v>
      </c>
      <c r="B61" s="28">
        <v>26</v>
      </c>
      <c r="C61" t="s">
        <v>36</v>
      </c>
      <c r="D61" t="s">
        <v>170</v>
      </c>
    </row>
    <row r="62" spans="1:4">
      <c r="A62" s="3" t="str">
        <f t="shared" si="1"/>
        <v>C-61</v>
      </c>
      <c r="B62" s="28">
        <v>36</v>
      </c>
      <c r="C62" t="s">
        <v>21</v>
      </c>
      <c r="D62" t="s">
        <v>170</v>
      </c>
    </row>
    <row r="63" spans="1:4">
      <c r="A63" s="3" t="str">
        <f t="shared" si="1"/>
        <v>C-62</v>
      </c>
      <c r="B63" s="28">
        <v>17</v>
      </c>
      <c r="C63" t="s">
        <v>43</v>
      </c>
      <c r="D63" t="s">
        <v>170</v>
      </c>
    </row>
    <row r="64" spans="1:4">
      <c r="A64" s="3" t="str">
        <f t="shared" si="1"/>
        <v>C-63</v>
      </c>
      <c r="B64" s="28">
        <v>19</v>
      </c>
      <c r="C64" t="s">
        <v>43</v>
      </c>
      <c r="D64" t="s">
        <v>169</v>
      </c>
    </row>
    <row r="65" spans="1:4">
      <c r="A65" s="3" t="str">
        <f t="shared" si="1"/>
        <v>C-64</v>
      </c>
      <c r="B65" s="28">
        <v>25</v>
      </c>
      <c r="C65" t="s">
        <v>36</v>
      </c>
      <c r="D65" t="s">
        <v>170</v>
      </c>
    </row>
    <row r="66" spans="1:4">
      <c r="A66" s="3" t="str">
        <f t="shared" ref="A66:A89" si="2">"C-"&amp;ROW()-1</f>
        <v>C-65</v>
      </c>
      <c r="B66" s="28">
        <v>35</v>
      </c>
      <c r="C66" t="s">
        <v>21</v>
      </c>
      <c r="D66" t="s">
        <v>169</v>
      </c>
    </row>
    <row r="67" spans="1:4">
      <c r="A67" s="3" t="str">
        <f t="shared" si="2"/>
        <v>C-66</v>
      </c>
      <c r="B67" s="28">
        <v>37</v>
      </c>
      <c r="C67" t="s">
        <v>21</v>
      </c>
      <c r="D67" t="s">
        <v>170</v>
      </c>
    </row>
    <row r="68" spans="1:4">
      <c r="A68" s="3" t="str">
        <f t="shared" si="2"/>
        <v>C-67</v>
      </c>
      <c r="B68" s="28">
        <v>39</v>
      </c>
      <c r="C68" t="s">
        <v>21</v>
      </c>
      <c r="D68" t="s">
        <v>169</v>
      </c>
    </row>
    <row r="69" spans="1:4">
      <c r="A69" s="3" t="str">
        <f t="shared" si="2"/>
        <v>C-68</v>
      </c>
      <c r="B69" s="28">
        <v>63</v>
      </c>
      <c r="C69" t="s">
        <v>21</v>
      </c>
      <c r="D69" t="s">
        <v>169</v>
      </c>
    </row>
    <row r="70" spans="1:4">
      <c r="A70" s="3" t="str">
        <f t="shared" si="2"/>
        <v>C-69</v>
      </c>
      <c r="B70" s="28">
        <v>18</v>
      </c>
      <c r="C70" t="s">
        <v>43</v>
      </c>
      <c r="D70" t="s">
        <v>170</v>
      </c>
    </row>
    <row r="71" spans="1:4">
      <c r="A71" s="3" t="str">
        <f t="shared" si="2"/>
        <v>C-70</v>
      </c>
      <c r="B71" s="28">
        <v>56</v>
      </c>
      <c r="C71" t="s">
        <v>21</v>
      </c>
      <c r="D71" t="s">
        <v>169</v>
      </c>
    </row>
    <row r="72" spans="1:4">
      <c r="A72" s="3" t="str">
        <f t="shared" si="2"/>
        <v>C-71</v>
      </c>
      <c r="B72" s="28">
        <v>39</v>
      </c>
      <c r="C72" t="s">
        <v>21</v>
      </c>
      <c r="D72" t="s">
        <v>169</v>
      </c>
    </row>
    <row r="73" spans="1:4">
      <c r="A73" s="3" t="str">
        <f t="shared" si="2"/>
        <v>C-72</v>
      </c>
      <c r="B73" s="28">
        <v>33</v>
      </c>
      <c r="C73" t="s">
        <v>36</v>
      </c>
      <c r="D73" t="s">
        <v>169</v>
      </c>
    </row>
    <row r="74" spans="1:4">
      <c r="A74" s="3" t="str">
        <f t="shared" si="2"/>
        <v>C-73</v>
      </c>
      <c r="B74" s="28">
        <v>57</v>
      </c>
      <c r="C74" t="s">
        <v>21</v>
      </c>
      <c r="D74" t="s">
        <v>170</v>
      </c>
    </row>
    <row r="75" spans="1:4">
      <c r="A75" s="3" t="str">
        <f t="shared" si="2"/>
        <v>C-74</v>
      </c>
      <c r="B75" s="28">
        <v>29</v>
      </c>
      <c r="C75" t="s">
        <v>36</v>
      </c>
      <c r="D75" t="s">
        <v>170</v>
      </c>
    </row>
    <row r="76" spans="1:4">
      <c r="A76" s="3" t="str">
        <f t="shared" si="2"/>
        <v>C-75</v>
      </c>
      <c r="B76" s="28">
        <v>35</v>
      </c>
      <c r="C76" t="s">
        <v>21</v>
      </c>
      <c r="D76" t="s">
        <v>169</v>
      </c>
    </row>
    <row r="77" spans="1:4">
      <c r="A77" s="3" t="str">
        <f t="shared" si="2"/>
        <v>C-76</v>
      </c>
      <c r="B77" s="28">
        <v>35</v>
      </c>
      <c r="C77" t="s">
        <v>21</v>
      </c>
      <c r="D77" t="s">
        <v>170</v>
      </c>
    </row>
    <row r="78" spans="1:4">
      <c r="A78" s="3" t="str">
        <f t="shared" si="2"/>
        <v>C-77</v>
      </c>
      <c r="B78" s="28">
        <v>26</v>
      </c>
      <c r="C78" t="s">
        <v>36</v>
      </c>
      <c r="D78" t="s">
        <v>170</v>
      </c>
    </row>
    <row r="79" spans="1:4">
      <c r="A79" s="3" t="str">
        <f t="shared" si="2"/>
        <v>C-78</v>
      </c>
      <c r="B79" s="28">
        <v>23</v>
      </c>
      <c r="C79" t="s">
        <v>43</v>
      </c>
      <c r="D79" t="s">
        <v>170</v>
      </c>
    </row>
    <row r="80" spans="1:4">
      <c r="A80" s="3" t="str">
        <f t="shared" si="2"/>
        <v>C-79</v>
      </c>
      <c r="B80" s="28">
        <v>30</v>
      </c>
      <c r="C80" t="s">
        <v>36</v>
      </c>
      <c r="D80" t="s">
        <v>169</v>
      </c>
    </row>
    <row r="81" spans="1:4">
      <c r="A81" s="3" t="str">
        <f t="shared" si="2"/>
        <v>C-80</v>
      </c>
      <c r="B81" s="28">
        <v>41</v>
      </c>
      <c r="C81" t="s">
        <v>21</v>
      </c>
      <c r="D81" t="s">
        <v>170</v>
      </c>
    </row>
    <row r="82" spans="1:4">
      <c r="A82" s="3" t="str">
        <f t="shared" si="2"/>
        <v>C-81</v>
      </c>
      <c r="B82" s="28">
        <v>19</v>
      </c>
      <c r="C82" t="s">
        <v>43</v>
      </c>
      <c r="D82" t="s">
        <v>169</v>
      </c>
    </row>
    <row r="83" spans="1:4">
      <c r="A83" s="3" t="str">
        <f t="shared" si="2"/>
        <v>C-82</v>
      </c>
      <c r="B83" s="28">
        <v>25</v>
      </c>
      <c r="C83" t="s">
        <v>36</v>
      </c>
      <c r="D83" t="s">
        <v>170</v>
      </c>
    </row>
    <row r="84" spans="1:4">
      <c r="A84" s="3" t="str">
        <f t="shared" si="2"/>
        <v>C-83</v>
      </c>
      <c r="B84" s="28">
        <v>27</v>
      </c>
      <c r="C84" t="s">
        <v>36</v>
      </c>
      <c r="D84" t="s">
        <v>169</v>
      </c>
    </row>
    <row r="85" spans="1:4">
      <c r="A85" s="3" t="str">
        <f t="shared" si="2"/>
        <v>C-84</v>
      </c>
      <c r="B85" s="28">
        <v>41</v>
      </c>
      <c r="C85" t="s">
        <v>21</v>
      </c>
      <c r="D85" t="s">
        <v>170</v>
      </c>
    </row>
    <row r="86" spans="1:4">
      <c r="A86" s="3" t="str">
        <f t="shared" si="2"/>
        <v>C-85</v>
      </c>
      <c r="B86" s="28">
        <v>30</v>
      </c>
      <c r="C86" t="s">
        <v>36</v>
      </c>
      <c r="D86" t="s">
        <v>169</v>
      </c>
    </row>
    <row r="87" spans="1:4">
      <c r="A87" s="3" t="str">
        <f t="shared" si="2"/>
        <v>C-86</v>
      </c>
      <c r="B87" s="28">
        <v>31</v>
      </c>
      <c r="C87" t="s">
        <v>36</v>
      </c>
      <c r="D87" t="s">
        <v>169</v>
      </c>
    </row>
    <row r="88" spans="1:4">
      <c r="A88" s="3" t="str">
        <f t="shared" si="2"/>
        <v>C-87</v>
      </c>
      <c r="B88" s="28">
        <v>35</v>
      </c>
      <c r="C88" t="s">
        <v>21</v>
      </c>
      <c r="D88" t="s">
        <v>169</v>
      </c>
    </row>
    <row r="89" spans="1:4">
      <c r="A89" s="3" t="str">
        <f t="shared" si="2"/>
        <v>C-88</v>
      </c>
      <c r="B89" s="28">
        <v>38</v>
      </c>
      <c r="C89" t="s">
        <v>21</v>
      </c>
      <c r="D89" t="s">
        <v>170</v>
      </c>
    </row>
    <row r="1048576" spans="1:2">
      <c r="A1048576" s="3"/>
      <c r="B104857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1656-3D0B-411C-86F1-D3214D121BDD}">
  <dimension ref="A1:G89"/>
  <sheetViews>
    <sheetView workbookViewId="0">
      <selection activeCell="K10" sqref="K10"/>
    </sheetView>
  </sheetViews>
  <sheetFormatPr defaultRowHeight="14.4"/>
  <cols>
    <col min="1" max="1" width="12.6640625" customWidth="1"/>
    <col min="2" max="2" width="18.88671875" customWidth="1"/>
    <col min="3" max="3" width="17.44140625" customWidth="1"/>
    <col min="4" max="4" width="18.109375" customWidth="1"/>
    <col min="5" max="5" width="17.33203125" customWidth="1"/>
    <col min="6" max="6" width="15.5546875" customWidth="1"/>
  </cols>
  <sheetData>
    <row r="1" spans="1:7">
      <c r="A1" s="16" t="s">
        <v>174</v>
      </c>
      <c r="B1" s="16" t="s">
        <v>10</v>
      </c>
      <c r="C1" s="16" t="s">
        <v>173</v>
      </c>
      <c r="D1" s="16" t="s">
        <v>168</v>
      </c>
      <c r="E1" s="16" t="s">
        <v>167</v>
      </c>
      <c r="F1" s="17" t="s">
        <v>160</v>
      </c>
      <c r="G1" s="16"/>
    </row>
    <row r="2" spans="1:7">
      <c r="A2" t="str">
        <f t="shared" ref="A2:A33" si="0">"P-"&amp;ROW()-1</f>
        <v>P-1</v>
      </c>
      <c r="B2" t="s">
        <v>25</v>
      </c>
      <c r="C2" t="s">
        <v>26</v>
      </c>
      <c r="D2" t="s">
        <v>161</v>
      </c>
      <c r="E2" t="s">
        <v>162</v>
      </c>
      <c r="F2" s="3">
        <v>46</v>
      </c>
    </row>
    <row r="3" spans="1:7">
      <c r="A3" t="str">
        <f t="shared" si="0"/>
        <v>P-2</v>
      </c>
      <c r="B3" t="s">
        <v>25</v>
      </c>
      <c r="C3" t="s">
        <v>26</v>
      </c>
      <c r="D3" t="s">
        <v>161</v>
      </c>
      <c r="E3" t="s">
        <v>163</v>
      </c>
      <c r="F3" s="3">
        <v>42</v>
      </c>
    </row>
    <row r="4" spans="1:7">
      <c r="A4" t="str">
        <f t="shared" si="0"/>
        <v>P-3</v>
      </c>
      <c r="B4" t="s">
        <v>25</v>
      </c>
      <c r="C4" t="s">
        <v>26</v>
      </c>
      <c r="D4" t="s">
        <v>164</v>
      </c>
      <c r="E4" t="s">
        <v>163</v>
      </c>
      <c r="F4" s="3">
        <v>46</v>
      </c>
    </row>
    <row r="5" spans="1:7">
      <c r="A5" t="str">
        <f t="shared" si="0"/>
        <v>P-4</v>
      </c>
      <c r="B5" t="s">
        <v>25</v>
      </c>
      <c r="C5" t="s">
        <v>26</v>
      </c>
      <c r="D5" t="s">
        <v>164</v>
      </c>
      <c r="E5" t="s">
        <v>163</v>
      </c>
      <c r="F5" s="3">
        <v>42</v>
      </c>
    </row>
    <row r="6" spans="1:7">
      <c r="A6" t="str">
        <f t="shared" si="0"/>
        <v>P-5</v>
      </c>
      <c r="B6" t="s">
        <v>25</v>
      </c>
      <c r="C6" t="s">
        <v>26</v>
      </c>
      <c r="D6" t="s">
        <v>161</v>
      </c>
      <c r="E6" t="s">
        <v>162</v>
      </c>
      <c r="F6" s="3">
        <v>46</v>
      </c>
    </row>
    <row r="7" spans="1:7">
      <c r="A7" t="str">
        <f t="shared" si="0"/>
        <v>P-6</v>
      </c>
      <c r="B7" t="s">
        <v>25</v>
      </c>
      <c r="C7" t="s">
        <v>26</v>
      </c>
      <c r="D7" t="s">
        <v>161</v>
      </c>
      <c r="E7" t="s">
        <v>162</v>
      </c>
      <c r="F7" s="3">
        <v>38</v>
      </c>
    </row>
    <row r="8" spans="1:7">
      <c r="A8" t="str">
        <f t="shared" si="0"/>
        <v>P-7</v>
      </c>
      <c r="B8" t="s">
        <v>25</v>
      </c>
      <c r="C8" t="s">
        <v>26</v>
      </c>
      <c r="D8" t="s">
        <v>161</v>
      </c>
      <c r="E8" t="s">
        <v>162</v>
      </c>
      <c r="F8" s="3">
        <v>46</v>
      </c>
    </row>
    <row r="9" spans="1:7">
      <c r="A9" t="str">
        <f t="shared" si="0"/>
        <v>P-8</v>
      </c>
      <c r="B9" t="s">
        <v>25</v>
      </c>
      <c r="C9" t="s">
        <v>26</v>
      </c>
      <c r="D9" t="s">
        <v>164</v>
      </c>
      <c r="E9" t="s">
        <v>163</v>
      </c>
      <c r="F9" s="3">
        <v>42</v>
      </c>
    </row>
    <row r="10" spans="1:7">
      <c r="A10" t="str">
        <f t="shared" si="0"/>
        <v>P-9</v>
      </c>
      <c r="B10" t="s">
        <v>25</v>
      </c>
      <c r="C10" t="s">
        <v>26</v>
      </c>
      <c r="D10" t="s">
        <v>161</v>
      </c>
      <c r="E10" t="s">
        <v>162</v>
      </c>
      <c r="F10" s="3">
        <v>46</v>
      </c>
    </row>
    <row r="11" spans="1:7">
      <c r="A11" t="str">
        <f t="shared" si="0"/>
        <v>P-10</v>
      </c>
      <c r="B11" t="s">
        <v>25</v>
      </c>
      <c r="C11" t="s">
        <v>26</v>
      </c>
      <c r="D11" t="s">
        <v>161</v>
      </c>
      <c r="E11" t="s">
        <v>162</v>
      </c>
      <c r="F11" s="3">
        <v>38</v>
      </c>
    </row>
    <row r="12" spans="1:7">
      <c r="A12" t="str">
        <f t="shared" si="0"/>
        <v>P-11</v>
      </c>
      <c r="B12" t="s">
        <v>25</v>
      </c>
      <c r="C12" t="s">
        <v>26</v>
      </c>
      <c r="D12" t="s">
        <v>161</v>
      </c>
      <c r="E12" t="s">
        <v>163</v>
      </c>
      <c r="F12" s="3">
        <v>38</v>
      </c>
    </row>
    <row r="13" spans="1:7">
      <c r="A13" t="str">
        <f t="shared" si="0"/>
        <v>P-12</v>
      </c>
      <c r="B13" t="s">
        <v>25</v>
      </c>
      <c r="C13" t="s">
        <v>26</v>
      </c>
      <c r="D13" t="s">
        <v>161</v>
      </c>
      <c r="E13" t="s">
        <v>162</v>
      </c>
      <c r="F13" s="3">
        <v>46</v>
      </c>
    </row>
    <row r="14" spans="1:7">
      <c r="A14" t="str">
        <f t="shared" si="0"/>
        <v>P-13</v>
      </c>
      <c r="B14" t="s">
        <v>25</v>
      </c>
      <c r="C14" t="s">
        <v>26</v>
      </c>
      <c r="D14" t="s">
        <v>164</v>
      </c>
      <c r="E14" t="s">
        <v>163</v>
      </c>
      <c r="F14" s="3">
        <v>46</v>
      </c>
    </row>
    <row r="15" spans="1:7">
      <c r="A15" t="str">
        <f t="shared" si="0"/>
        <v>P-14</v>
      </c>
      <c r="B15" t="s">
        <v>25</v>
      </c>
      <c r="C15" t="s">
        <v>26</v>
      </c>
      <c r="D15" t="s">
        <v>161</v>
      </c>
      <c r="E15" t="s">
        <v>162</v>
      </c>
      <c r="F15" s="3">
        <v>46</v>
      </c>
    </row>
    <row r="16" spans="1:7">
      <c r="A16" t="str">
        <f t="shared" si="0"/>
        <v>P-15</v>
      </c>
      <c r="B16" t="s">
        <v>25</v>
      </c>
      <c r="C16" t="s">
        <v>26</v>
      </c>
      <c r="D16" t="s">
        <v>161</v>
      </c>
      <c r="E16" t="s">
        <v>162</v>
      </c>
      <c r="F16" s="3">
        <v>42</v>
      </c>
    </row>
    <row r="17" spans="1:6">
      <c r="A17" t="str">
        <f t="shared" si="0"/>
        <v>P-16</v>
      </c>
      <c r="B17" t="s">
        <v>25</v>
      </c>
      <c r="C17" t="s">
        <v>26</v>
      </c>
      <c r="D17" t="s">
        <v>161</v>
      </c>
      <c r="E17" t="s">
        <v>163</v>
      </c>
      <c r="F17" s="3">
        <v>38</v>
      </c>
    </row>
    <row r="18" spans="1:6">
      <c r="A18" t="str">
        <f t="shared" si="0"/>
        <v>P-17</v>
      </c>
      <c r="B18" t="s">
        <v>25</v>
      </c>
      <c r="C18" t="s">
        <v>26</v>
      </c>
      <c r="D18" t="s">
        <v>164</v>
      </c>
      <c r="E18" t="s">
        <v>163</v>
      </c>
      <c r="F18" s="3">
        <v>38</v>
      </c>
    </row>
    <row r="19" spans="1:6">
      <c r="A19" t="str">
        <f t="shared" si="0"/>
        <v>P-18</v>
      </c>
      <c r="B19" t="s">
        <v>25</v>
      </c>
      <c r="C19" t="s">
        <v>26</v>
      </c>
      <c r="D19" t="s">
        <v>161</v>
      </c>
      <c r="E19" t="s">
        <v>163</v>
      </c>
      <c r="F19" s="3">
        <v>42</v>
      </c>
    </row>
    <row r="20" spans="1:6">
      <c r="A20" t="str">
        <f t="shared" si="0"/>
        <v>P-19</v>
      </c>
      <c r="B20" t="s">
        <v>25</v>
      </c>
      <c r="C20" t="s">
        <v>26</v>
      </c>
      <c r="D20" t="s">
        <v>165</v>
      </c>
      <c r="E20" t="s">
        <v>163</v>
      </c>
      <c r="F20" s="3">
        <v>42</v>
      </c>
    </row>
    <row r="21" spans="1:6">
      <c r="A21" t="str">
        <f t="shared" si="0"/>
        <v>P-20</v>
      </c>
      <c r="B21" t="s">
        <v>25</v>
      </c>
      <c r="C21" t="s">
        <v>26</v>
      </c>
      <c r="D21" t="s">
        <v>161</v>
      </c>
      <c r="E21" t="s">
        <v>163</v>
      </c>
      <c r="F21" s="3">
        <v>38</v>
      </c>
    </row>
    <row r="22" spans="1:6">
      <c r="A22" t="str">
        <f t="shared" si="0"/>
        <v>P-21</v>
      </c>
      <c r="B22" t="s">
        <v>25</v>
      </c>
      <c r="C22" t="s">
        <v>26</v>
      </c>
      <c r="D22" t="s">
        <v>161</v>
      </c>
      <c r="E22" t="s">
        <v>162</v>
      </c>
      <c r="F22" s="3">
        <v>42</v>
      </c>
    </row>
    <row r="23" spans="1:6">
      <c r="A23" t="str">
        <f t="shared" si="0"/>
        <v>P-22</v>
      </c>
      <c r="B23" t="s">
        <v>25</v>
      </c>
      <c r="C23" t="s">
        <v>26</v>
      </c>
      <c r="D23" t="s">
        <v>165</v>
      </c>
      <c r="E23" t="s">
        <v>162</v>
      </c>
      <c r="F23" s="3">
        <v>42</v>
      </c>
    </row>
    <row r="24" spans="1:6">
      <c r="A24" t="str">
        <f t="shared" si="0"/>
        <v>P-23</v>
      </c>
      <c r="B24" t="s">
        <v>25</v>
      </c>
      <c r="C24" t="s">
        <v>26</v>
      </c>
      <c r="D24" t="s">
        <v>166</v>
      </c>
      <c r="E24" t="s">
        <v>162</v>
      </c>
      <c r="F24" s="3">
        <v>38</v>
      </c>
    </row>
    <row r="25" spans="1:6">
      <c r="A25" t="str">
        <f t="shared" si="0"/>
        <v>P-24</v>
      </c>
      <c r="B25" t="s">
        <v>25</v>
      </c>
      <c r="C25" t="s">
        <v>26</v>
      </c>
      <c r="D25" t="s">
        <v>161</v>
      </c>
      <c r="E25" t="s">
        <v>163</v>
      </c>
      <c r="F25" s="3">
        <v>42</v>
      </c>
    </row>
    <row r="26" spans="1:6">
      <c r="A26" t="str">
        <f t="shared" si="0"/>
        <v>P-25</v>
      </c>
      <c r="B26" t="s">
        <v>25</v>
      </c>
      <c r="C26" t="s">
        <v>26</v>
      </c>
      <c r="D26" t="s">
        <v>161</v>
      </c>
      <c r="E26" t="s">
        <v>162</v>
      </c>
      <c r="F26" s="3">
        <v>42</v>
      </c>
    </row>
    <row r="27" spans="1:6">
      <c r="A27" t="str">
        <f t="shared" si="0"/>
        <v>P-26</v>
      </c>
      <c r="B27" t="s">
        <v>25</v>
      </c>
      <c r="C27" t="s">
        <v>26</v>
      </c>
      <c r="D27" t="s">
        <v>161</v>
      </c>
      <c r="E27" t="s">
        <v>162</v>
      </c>
      <c r="F27" s="3">
        <v>42</v>
      </c>
    </row>
    <row r="28" spans="1:6">
      <c r="A28" t="str">
        <f t="shared" si="0"/>
        <v>P-27</v>
      </c>
      <c r="B28" t="s">
        <v>25</v>
      </c>
      <c r="C28" t="s">
        <v>26</v>
      </c>
      <c r="D28" t="s">
        <v>161</v>
      </c>
      <c r="E28" t="s">
        <v>162</v>
      </c>
      <c r="F28" s="3">
        <v>38</v>
      </c>
    </row>
    <row r="29" spans="1:6">
      <c r="A29" t="str">
        <f t="shared" si="0"/>
        <v>P-28</v>
      </c>
      <c r="B29" t="s">
        <v>25</v>
      </c>
      <c r="C29" t="s">
        <v>26</v>
      </c>
      <c r="D29" t="s">
        <v>165</v>
      </c>
      <c r="E29" t="s">
        <v>162</v>
      </c>
      <c r="F29" s="3">
        <v>40</v>
      </c>
    </row>
    <row r="30" spans="1:6">
      <c r="A30" t="str">
        <f t="shared" si="0"/>
        <v>P-29</v>
      </c>
      <c r="B30" t="s">
        <v>25</v>
      </c>
      <c r="C30" t="s">
        <v>26</v>
      </c>
      <c r="D30" t="s">
        <v>166</v>
      </c>
      <c r="E30" t="s">
        <v>163</v>
      </c>
      <c r="F30" s="3">
        <v>44</v>
      </c>
    </row>
    <row r="31" spans="1:6">
      <c r="A31" t="str">
        <f t="shared" si="0"/>
        <v>P-30</v>
      </c>
      <c r="B31" t="s">
        <v>25</v>
      </c>
      <c r="C31" t="s">
        <v>26</v>
      </c>
      <c r="D31" t="s">
        <v>161</v>
      </c>
      <c r="E31" t="s">
        <v>162</v>
      </c>
      <c r="F31" s="3">
        <v>38</v>
      </c>
    </row>
    <row r="32" spans="1:6">
      <c r="A32" t="str">
        <f t="shared" si="0"/>
        <v>P-31</v>
      </c>
      <c r="B32" t="s">
        <v>25</v>
      </c>
      <c r="C32" t="s">
        <v>26</v>
      </c>
      <c r="D32" t="s">
        <v>161</v>
      </c>
      <c r="E32" t="s">
        <v>162</v>
      </c>
      <c r="F32" s="3">
        <v>38</v>
      </c>
    </row>
    <row r="33" spans="1:6">
      <c r="A33" t="str">
        <f t="shared" si="0"/>
        <v>P-32</v>
      </c>
      <c r="B33" t="s">
        <v>25</v>
      </c>
      <c r="C33" t="s">
        <v>26</v>
      </c>
      <c r="D33" t="s">
        <v>164</v>
      </c>
      <c r="E33" t="s">
        <v>163</v>
      </c>
      <c r="F33" s="3">
        <v>38</v>
      </c>
    </row>
    <row r="34" spans="1:6">
      <c r="A34" t="str">
        <f t="shared" ref="A34:A65" si="1">"P-"&amp;ROW()-1</f>
        <v>P-33</v>
      </c>
      <c r="B34" t="s">
        <v>25</v>
      </c>
      <c r="C34" t="s">
        <v>26</v>
      </c>
      <c r="D34" t="s">
        <v>161</v>
      </c>
      <c r="E34" t="s">
        <v>162</v>
      </c>
      <c r="F34" s="3">
        <v>46</v>
      </c>
    </row>
    <row r="35" spans="1:6">
      <c r="A35" t="str">
        <f t="shared" si="1"/>
        <v>P-34</v>
      </c>
      <c r="B35" t="s">
        <v>25</v>
      </c>
      <c r="C35" t="s">
        <v>26</v>
      </c>
      <c r="D35" t="s">
        <v>164</v>
      </c>
      <c r="E35" t="s">
        <v>163</v>
      </c>
      <c r="F35" s="3">
        <v>46</v>
      </c>
    </row>
    <row r="36" spans="1:6">
      <c r="A36" t="str">
        <f t="shared" si="1"/>
        <v>P-35</v>
      </c>
      <c r="B36" t="s">
        <v>25</v>
      </c>
      <c r="C36" t="s">
        <v>26</v>
      </c>
      <c r="D36" t="s">
        <v>161</v>
      </c>
      <c r="E36" t="s">
        <v>163</v>
      </c>
      <c r="F36" s="3">
        <v>38</v>
      </c>
    </row>
    <row r="37" spans="1:6">
      <c r="A37" t="str">
        <f t="shared" si="1"/>
        <v>P-36</v>
      </c>
      <c r="B37" t="s">
        <v>25</v>
      </c>
      <c r="C37" t="s">
        <v>26</v>
      </c>
      <c r="D37" t="s">
        <v>161</v>
      </c>
      <c r="E37" t="s">
        <v>163</v>
      </c>
      <c r="F37" s="3">
        <v>42</v>
      </c>
    </row>
    <row r="38" spans="1:6">
      <c r="A38" t="str">
        <f t="shared" si="1"/>
        <v>P-37</v>
      </c>
      <c r="B38" t="s">
        <v>25</v>
      </c>
      <c r="C38" t="s">
        <v>26</v>
      </c>
      <c r="D38" t="s">
        <v>164</v>
      </c>
      <c r="E38" t="s">
        <v>163</v>
      </c>
      <c r="F38" s="3">
        <v>46</v>
      </c>
    </row>
    <row r="39" spans="1:6">
      <c r="A39" t="str">
        <f t="shared" si="1"/>
        <v>P-38</v>
      </c>
      <c r="B39" t="s">
        <v>25</v>
      </c>
      <c r="C39" t="s">
        <v>26</v>
      </c>
      <c r="D39" t="s">
        <v>161</v>
      </c>
      <c r="E39" t="s">
        <v>162</v>
      </c>
      <c r="F39" s="3">
        <v>38</v>
      </c>
    </row>
    <row r="40" spans="1:6">
      <c r="A40" t="str">
        <f t="shared" si="1"/>
        <v>P-39</v>
      </c>
      <c r="B40" t="s">
        <v>25</v>
      </c>
      <c r="C40" t="s">
        <v>26</v>
      </c>
      <c r="D40" t="s">
        <v>161</v>
      </c>
      <c r="E40" t="s">
        <v>163</v>
      </c>
      <c r="F40" s="3">
        <v>42</v>
      </c>
    </row>
    <row r="41" spans="1:6">
      <c r="A41" t="str">
        <f t="shared" si="1"/>
        <v>P-40</v>
      </c>
      <c r="B41" t="s">
        <v>25</v>
      </c>
      <c r="C41" t="s">
        <v>26</v>
      </c>
      <c r="D41" t="s">
        <v>161</v>
      </c>
      <c r="E41" t="s">
        <v>163</v>
      </c>
      <c r="F41" s="3">
        <v>42</v>
      </c>
    </row>
    <row r="42" spans="1:6">
      <c r="A42" t="str">
        <f t="shared" si="1"/>
        <v>P-41</v>
      </c>
      <c r="B42" t="s">
        <v>25</v>
      </c>
      <c r="C42" t="s">
        <v>26</v>
      </c>
      <c r="D42" t="s">
        <v>161</v>
      </c>
      <c r="E42" t="s">
        <v>163</v>
      </c>
      <c r="F42" s="3">
        <v>42</v>
      </c>
    </row>
    <row r="43" spans="1:6">
      <c r="A43" t="str">
        <f t="shared" si="1"/>
        <v>P-42</v>
      </c>
      <c r="B43" t="s">
        <v>25</v>
      </c>
      <c r="C43" t="s">
        <v>26</v>
      </c>
      <c r="D43" t="s">
        <v>165</v>
      </c>
      <c r="E43" t="s">
        <v>163</v>
      </c>
      <c r="F43" s="3">
        <v>40</v>
      </c>
    </row>
    <row r="44" spans="1:6">
      <c r="A44" t="str">
        <f t="shared" si="1"/>
        <v>P-43</v>
      </c>
      <c r="B44" t="s">
        <v>25</v>
      </c>
      <c r="C44" t="s">
        <v>26</v>
      </c>
      <c r="D44" t="s">
        <v>161</v>
      </c>
      <c r="E44" t="s">
        <v>162</v>
      </c>
      <c r="F44" s="3">
        <v>38</v>
      </c>
    </row>
    <row r="45" spans="1:6">
      <c r="A45" t="str">
        <f t="shared" si="1"/>
        <v>P-44</v>
      </c>
      <c r="B45" t="s">
        <v>25</v>
      </c>
      <c r="C45" t="s">
        <v>26</v>
      </c>
      <c r="D45" t="s">
        <v>161</v>
      </c>
      <c r="E45" t="s">
        <v>162</v>
      </c>
      <c r="F45" s="3">
        <v>38</v>
      </c>
    </row>
    <row r="46" spans="1:6">
      <c r="A46" t="str">
        <f t="shared" si="1"/>
        <v>P-45</v>
      </c>
      <c r="B46" t="s">
        <v>25</v>
      </c>
      <c r="C46" t="s">
        <v>26</v>
      </c>
      <c r="D46" t="s">
        <v>161</v>
      </c>
      <c r="E46" t="s">
        <v>163</v>
      </c>
      <c r="F46" s="3">
        <v>38</v>
      </c>
    </row>
    <row r="47" spans="1:6">
      <c r="A47" t="str">
        <f t="shared" si="1"/>
        <v>P-46</v>
      </c>
      <c r="B47" t="s">
        <v>25</v>
      </c>
      <c r="C47" t="s">
        <v>26</v>
      </c>
      <c r="D47" t="s">
        <v>161</v>
      </c>
      <c r="E47" t="s">
        <v>162</v>
      </c>
      <c r="F47" s="3">
        <v>46</v>
      </c>
    </row>
    <row r="48" spans="1:6">
      <c r="A48" t="str">
        <f t="shared" si="1"/>
        <v>P-47</v>
      </c>
      <c r="B48" t="s">
        <v>25</v>
      </c>
      <c r="C48" t="s">
        <v>26</v>
      </c>
      <c r="D48" t="s">
        <v>164</v>
      </c>
      <c r="E48" t="s">
        <v>163</v>
      </c>
      <c r="F48" s="3">
        <v>46</v>
      </c>
    </row>
    <row r="49" spans="1:6">
      <c r="A49" t="str">
        <f t="shared" si="1"/>
        <v>P-48</v>
      </c>
      <c r="B49" t="s">
        <v>25</v>
      </c>
      <c r="C49" t="s">
        <v>26</v>
      </c>
      <c r="D49" t="s">
        <v>161</v>
      </c>
      <c r="E49" t="s">
        <v>163</v>
      </c>
      <c r="F49" s="3">
        <v>42</v>
      </c>
    </row>
    <row r="50" spans="1:6">
      <c r="A50" t="str">
        <f t="shared" si="1"/>
        <v>P-49</v>
      </c>
      <c r="B50" t="s">
        <v>25</v>
      </c>
      <c r="C50" t="s">
        <v>26</v>
      </c>
      <c r="D50" t="s">
        <v>161</v>
      </c>
      <c r="E50" t="s">
        <v>162</v>
      </c>
      <c r="F50" s="3">
        <v>38</v>
      </c>
    </row>
    <row r="51" spans="1:6">
      <c r="A51" t="str">
        <f t="shared" si="1"/>
        <v>P-50</v>
      </c>
      <c r="B51" t="s">
        <v>25</v>
      </c>
      <c r="C51" t="s">
        <v>26</v>
      </c>
      <c r="D51" t="s">
        <v>161</v>
      </c>
      <c r="E51" t="s">
        <v>162</v>
      </c>
      <c r="F51" s="3">
        <v>38</v>
      </c>
    </row>
    <row r="52" spans="1:6">
      <c r="A52" t="str">
        <f t="shared" si="1"/>
        <v>P-51</v>
      </c>
      <c r="B52" t="s">
        <v>25</v>
      </c>
      <c r="C52" t="s">
        <v>26</v>
      </c>
      <c r="D52" t="s">
        <v>161</v>
      </c>
      <c r="E52" t="s">
        <v>163</v>
      </c>
      <c r="F52" s="3">
        <v>46</v>
      </c>
    </row>
    <row r="53" spans="1:6">
      <c r="A53" t="str">
        <f t="shared" si="1"/>
        <v>P-52</v>
      </c>
      <c r="B53" t="s">
        <v>25</v>
      </c>
      <c r="C53" t="s">
        <v>26</v>
      </c>
      <c r="D53" t="s">
        <v>161</v>
      </c>
      <c r="E53" t="s">
        <v>163</v>
      </c>
      <c r="F53" s="3">
        <v>38</v>
      </c>
    </row>
    <row r="54" spans="1:6">
      <c r="A54" t="str">
        <f t="shared" si="1"/>
        <v>P-53</v>
      </c>
      <c r="B54" t="s">
        <v>25</v>
      </c>
      <c r="C54" t="s">
        <v>26</v>
      </c>
      <c r="D54" t="s">
        <v>164</v>
      </c>
      <c r="E54" t="s">
        <v>163</v>
      </c>
      <c r="F54" s="3">
        <v>42</v>
      </c>
    </row>
    <row r="55" spans="1:6">
      <c r="A55" t="str">
        <f t="shared" si="1"/>
        <v>P-54</v>
      </c>
      <c r="B55" t="s">
        <v>25</v>
      </c>
      <c r="C55" t="s">
        <v>26</v>
      </c>
      <c r="D55" t="s">
        <v>161</v>
      </c>
      <c r="E55" t="s">
        <v>163</v>
      </c>
      <c r="F55" s="3">
        <v>46</v>
      </c>
    </row>
    <row r="56" spans="1:6">
      <c r="A56" t="str">
        <f t="shared" si="1"/>
        <v>P-55</v>
      </c>
      <c r="B56" t="s">
        <v>25</v>
      </c>
      <c r="C56" t="s">
        <v>26</v>
      </c>
      <c r="D56" t="s">
        <v>165</v>
      </c>
      <c r="E56" t="s">
        <v>163</v>
      </c>
      <c r="F56" s="3">
        <v>42</v>
      </c>
    </row>
    <row r="57" spans="1:6">
      <c r="A57" t="str">
        <f t="shared" si="1"/>
        <v>P-56</v>
      </c>
      <c r="B57" t="s">
        <v>25</v>
      </c>
      <c r="C57" t="s">
        <v>26</v>
      </c>
      <c r="D57" t="s">
        <v>161</v>
      </c>
      <c r="E57" t="s">
        <v>163</v>
      </c>
      <c r="F57" s="3">
        <v>46</v>
      </c>
    </row>
    <row r="58" spans="1:6">
      <c r="A58" t="str">
        <f t="shared" si="1"/>
        <v>P-57</v>
      </c>
      <c r="B58" t="s">
        <v>25</v>
      </c>
      <c r="C58" t="s">
        <v>26</v>
      </c>
      <c r="D58" t="s">
        <v>161</v>
      </c>
      <c r="E58" t="s">
        <v>163</v>
      </c>
      <c r="F58" s="3">
        <v>38</v>
      </c>
    </row>
    <row r="59" spans="1:6">
      <c r="A59" t="str">
        <f t="shared" si="1"/>
        <v>P-58</v>
      </c>
      <c r="B59" t="s">
        <v>25</v>
      </c>
      <c r="C59" t="s">
        <v>26</v>
      </c>
      <c r="D59" t="s">
        <v>164</v>
      </c>
      <c r="E59" t="s">
        <v>163</v>
      </c>
      <c r="F59" s="3">
        <v>42</v>
      </c>
    </row>
    <row r="60" spans="1:6">
      <c r="A60" t="str">
        <f t="shared" si="1"/>
        <v>P-59</v>
      </c>
      <c r="B60" t="s">
        <v>25</v>
      </c>
      <c r="C60" t="s">
        <v>26</v>
      </c>
      <c r="D60" t="s">
        <v>161</v>
      </c>
      <c r="E60" t="s">
        <v>162</v>
      </c>
      <c r="F60" s="3">
        <v>42</v>
      </c>
    </row>
    <row r="61" spans="1:6">
      <c r="A61" t="str">
        <f t="shared" si="1"/>
        <v>P-60</v>
      </c>
      <c r="B61" t="s">
        <v>25</v>
      </c>
      <c r="C61" t="s">
        <v>26</v>
      </c>
      <c r="D61" t="s">
        <v>161</v>
      </c>
      <c r="E61" t="s">
        <v>162</v>
      </c>
      <c r="F61" s="3">
        <v>46</v>
      </c>
    </row>
    <row r="62" spans="1:6">
      <c r="A62" t="str">
        <f t="shared" si="1"/>
        <v>P-61</v>
      </c>
      <c r="B62" t="s">
        <v>25</v>
      </c>
      <c r="C62" t="s">
        <v>26</v>
      </c>
      <c r="D62" t="s">
        <v>161</v>
      </c>
      <c r="E62" t="s">
        <v>163</v>
      </c>
      <c r="F62" s="3">
        <v>38</v>
      </c>
    </row>
    <row r="63" spans="1:6">
      <c r="A63" t="str">
        <f t="shared" si="1"/>
        <v>P-62</v>
      </c>
      <c r="B63" t="s">
        <v>25</v>
      </c>
      <c r="C63" t="s">
        <v>26</v>
      </c>
      <c r="D63" t="s">
        <v>161</v>
      </c>
      <c r="E63" t="s">
        <v>163</v>
      </c>
      <c r="F63" s="3">
        <v>46</v>
      </c>
    </row>
    <row r="64" spans="1:6">
      <c r="A64" t="str">
        <f t="shared" si="1"/>
        <v>P-63</v>
      </c>
      <c r="B64" t="s">
        <v>25</v>
      </c>
      <c r="C64" t="s">
        <v>26</v>
      </c>
      <c r="D64" t="s">
        <v>165</v>
      </c>
      <c r="E64" t="s">
        <v>162</v>
      </c>
      <c r="F64" s="3">
        <v>44</v>
      </c>
    </row>
    <row r="65" spans="1:6">
      <c r="A65" t="str">
        <f t="shared" si="1"/>
        <v>P-64</v>
      </c>
      <c r="B65" t="s">
        <v>25</v>
      </c>
      <c r="C65" t="s">
        <v>26</v>
      </c>
      <c r="D65" t="s">
        <v>161</v>
      </c>
      <c r="E65" t="s">
        <v>162</v>
      </c>
      <c r="F65" s="3">
        <v>38</v>
      </c>
    </row>
    <row r="66" spans="1:6">
      <c r="A66" t="str">
        <f t="shared" ref="A66:A89" si="2">"P-"&amp;ROW()-1</f>
        <v>P-65</v>
      </c>
      <c r="B66" t="s">
        <v>25</v>
      </c>
      <c r="C66" t="s">
        <v>26</v>
      </c>
      <c r="D66" t="s">
        <v>166</v>
      </c>
      <c r="E66" t="s">
        <v>162</v>
      </c>
      <c r="F66" s="3">
        <v>48</v>
      </c>
    </row>
    <row r="67" spans="1:6">
      <c r="A67" t="str">
        <f t="shared" si="2"/>
        <v>P-66</v>
      </c>
      <c r="B67" t="s">
        <v>25</v>
      </c>
      <c r="C67" t="s">
        <v>26</v>
      </c>
      <c r="D67" t="s">
        <v>161</v>
      </c>
      <c r="E67" t="s">
        <v>162</v>
      </c>
      <c r="F67" s="3">
        <v>38</v>
      </c>
    </row>
    <row r="68" spans="1:6">
      <c r="A68" t="str">
        <f t="shared" si="2"/>
        <v>P-67</v>
      </c>
      <c r="B68" t="s">
        <v>25</v>
      </c>
      <c r="C68" t="s">
        <v>26</v>
      </c>
      <c r="D68" t="s">
        <v>161</v>
      </c>
      <c r="E68" t="s">
        <v>162</v>
      </c>
      <c r="F68" s="3">
        <v>46</v>
      </c>
    </row>
    <row r="69" spans="1:6">
      <c r="A69" t="str">
        <f t="shared" si="2"/>
        <v>P-68</v>
      </c>
      <c r="B69" t="s">
        <v>25</v>
      </c>
      <c r="C69" t="s">
        <v>26</v>
      </c>
      <c r="D69" t="s">
        <v>161</v>
      </c>
      <c r="E69" t="s">
        <v>162</v>
      </c>
      <c r="F69" s="3">
        <v>46</v>
      </c>
    </row>
    <row r="70" spans="1:6">
      <c r="A70" t="str">
        <f t="shared" si="2"/>
        <v>P-69</v>
      </c>
      <c r="B70" t="s">
        <v>25</v>
      </c>
      <c r="C70" t="s">
        <v>26</v>
      </c>
      <c r="D70" t="s">
        <v>165</v>
      </c>
      <c r="E70" t="s">
        <v>162</v>
      </c>
      <c r="F70" s="3">
        <v>40</v>
      </c>
    </row>
    <row r="71" spans="1:6">
      <c r="A71" t="str">
        <f t="shared" si="2"/>
        <v>P-70</v>
      </c>
      <c r="B71" t="s">
        <v>25</v>
      </c>
      <c r="C71" t="s">
        <v>26</v>
      </c>
      <c r="D71" t="s">
        <v>161</v>
      </c>
      <c r="E71" t="s">
        <v>162</v>
      </c>
      <c r="F71" s="3">
        <v>46</v>
      </c>
    </row>
    <row r="72" spans="1:6">
      <c r="A72" t="str">
        <f t="shared" si="2"/>
        <v>P-71</v>
      </c>
      <c r="B72" t="s">
        <v>25</v>
      </c>
      <c r="C72" t="s">
        <v>26</v>
      </c>
      <c r="D72" t="s">
        <v>161</v>
      </c>
      <c r="E72" t="s">
        <v>163</v>
      </c>
      <c r="F72" s="3">
        <v>38</v>
      </c>
    </row>
    <row r="73" spans="1:6">
      <c r="A73" t="str">
        <f t="shared" si="2"/>
        <v>P-72</v>
      </c>
      <c r="B73" t="s">
        <v>25</v>
      </c>
      <c r="C73" t="s">
        <v>26</v>
      </c>
      <c r="D73" t="s">
        <v>166</v>
      </c>
      <c r="E73" t="s">
        <v>162</v>
      </c>
      <c r="F73" s="3">
        <v>38</v>
      </c>
    </row>
    <row r="74" spans="1:6">
      <c r="A74" t="str">
        <f t="shared" si="2"/>
        <v>P-73</v>
      </c>
      <c r="B74" t="s">
        <v>25</v>
      </c>
      <c r="C74" t="s">
        <v>26</v>
      </c>
      <c r="D74" t="s">
        <v>161</v>
      </c>
      <c r="E74" t="s">
        <v>162</v>
      </c>
      <c r="F74" s="3">
        <v>46</v>
      </c>
    </row>
    <row r="75" spans="1:6">
      <c r="A75" t="str">
        <f t="shared" si="2"/>
        <v>P-74</v>
      </c>
      <c r="B75" t="s">
        <v>25</v>
      </c>
      <c r="C75" t="s">
        <v>26</v>
      </c>
      <c r="D75" t="s">
        <v>165</v>
      </c>
      <c r="E75" t="s">
        <v>162</v>
      </c>
      <c r="F75" s="3">
        <v>52</v>
      </c>
    </row>
    <row r="76" spans="1:6">
      <c r="A76" t="str">
        <f t="shared" si="2"/>
        <v>P-75</v>
      </c>
      <c r="B76" t="s">
        <v>25</v>
      </c>
      <c r="C76" t="s">
        <v>26</v>
      </c>
      <c r="D76" t="s">
        <v>161</v>
      </c>
      <c r="E76" t="s">
        <v>163</v>
      </c>
      <c r="F76" s="3">
        <v>38</v>
      </c>
    </row>
    <row r="77" spans="1:6">
      <c r="A77" t="str">
        <f t="shared" si="2"/>
        <v>P-76</v>
      </c>
      <c r="B77" t="s">
        <v>25</v>
      </c>
      <c r="C77" t="s">
        <v>26</v>
      </c>
      <c r="D77" t="s">
        <v>161</v>
      </c>
      <c r="E77" t="s">
        <v>163</v>
      </c>
      <c r="F77" s="3">
        <v>38</v>
      </c>
    </row>
    <row r="78" spans="1:6">
      <c r="A78" t="str">
        <f t="shared" si="2"/>
        <v>P-77</v>
      </c>
      <c r="B78" t="s">
        <v>25</v>
      </c>
      <c r="C78" t="s">
        <v>26</v>
      </c>
      <c r="D78" t="s">
        <v>161</v>
      </c>
      <c r="E78" t="s">
        <v>163</v>
      </c>
      <c r="F78" s="3">
        <v>38</v>
      </c>
    </row>
    <row r="79" spans="1:6">
      <c r="A79" t="str">
        <f t="shared" si="2"/>
        <v>P-78</v>
      </c>
      <c r="B79" t="s">
        <v>25</v>
      </c>
      <c r="C79" t="s">
        <v>26</v>
      </c>
      <c r="D79" t="s">
        <v>164</v>
      </c>
      <c r="E79" t="s">
        <v>163</v>
      </c>
      <c r="F79" s="3">
        <v>46</v>
      </c>
    </row>
    <row r="80" spans="1:6">
      <c r="A80" t="str">
        <f t="shared" si="2"/>
        <v>P-79</v>
      </c>
      <c r="B80" t="s">
        <v>25</v>
      </c>
      <c r="C80" t="s">
        <v>26</v>
      </c>
      <c r="D80" t="s">
        <v>161</v>
      </c>
      <c r="E80" t="s">
        <v>163</v>
      </c>
      <c r="F80" s="3">
        <v>38</v>
      </c>
    </row>
    <row r="81" spans="1:6">
      <c r="A81" t="str">
        <f t="shared" si="2"/>
        <v>P-80</v>
      </c>
      <c r="B81" t="s">
        <v>25</v>
      </c>
      <c r="C81" t="s">
        <v>26</v>
      </c>
      <c r="D81" t="s">
        <v>161</v>
      </c>
      <c r="E81" t="s">
        <v>162</v>
      </c>
      <c r="F81" s="3">
        <v>42</v>
      </c>
    </row>
    <row r="82" spans="1:6">
      <c r="A82" t="str">
        <f t="shared" si="2"/>
        <v>P-81</v>
      </c>
      <c r="B82" t="s">
        <v>25</v>
      </c>
      <c r="C82" t="s">
        <v>26</v>
      </c>
      <c r="D82" t="s">
        <v>165</v>
      </c>
      <c r="E82" t="s">
        <v>163</v>
      </c>
      <c r="F82" s="3">
        <v>42</v>
      </c>
    </row>
    <row r="83" spans="1:6">
      <c r="A83" t="str">
        <f t="shared" si="2"/>
        <v>P-82</v>
      </c>
      <c r="B83" t="s">
        <v>25</v>
      </c>
      <c r="C83" t="s">
        <v>26</v>
      </c>
      <c r="D83" t="s">
        <v>161</v>
      </c>
      <c r="E83" t="s">
        <v>162</v>
      </c>
      <c r="F83" s="3">
        <v>38</v>
      </c>
    </row>
    <row r="84" spans="1:6">
      <c r="A84" t="str">
        <f t="shared" si="2"/>
        <v>P-83</v>
      </c>
      <c r="B84" t="s">
        <v>25</v>
      </c>
      <c r="C84" t="s">
        <v>26</v>
      </c>
      <c r="D84" t="s">
        <v>161</v>
      </c>
      <c r="E84" t="s">
        <v>162</v>
      </c>
      <c r="F84" s="3">
        <v>46</v>
      </c>
    </row>
    <row r="85" spans="1:6">
      <c r="A85" t="str">
        <f t="shared" si="2"/>
        <v>P-84</v>
      </c>
      <c r="B85" t="s">
        <v>25</v>
      </c>
      <c r="C85" t="s">
        <v>26</v>
      </c>
      <c r="D85" t="s">
        <v>161</v>
      </c>
      <c r="E85" t="s">
        <v>163</v>
      </c>
      <c r="F85" s="3">
        <v>38</v>
      </c>
    </row>
    <row r="86" spans="1:6">
      <c r="A86" t="str">
        <f t="shared" si="2"/>
        <v>P-85</v>
      </c>
      <c r="B86" t="s">
        <v>25</v>
      </c>
      <c r="C86" t="s">
        <v>26</v>
      </c>
      <c r="D86" t="s">
        <v>161</v>
      </c>
      <c r="E86" t="s">
        <v>163</v>
      </c>
      <c r="F86" s="3">
        <v>42</v>
      </c>
    </row>
    <row r="87" spans="1:6">
      <c r="A87" t="str">
        <f t="shared" si="2"/>
        <v>P-86</v>
      </c>
      <c r="B87" t="s">
        <v>25</v>
      </c>
      <c r="C87" t="s">
        <v>26</v>
      </c>
      <c r="D87" t="s">
        <v>161</v>
      </c>
      <c r="E87" t="s">
        <v>162</v>
      </c>
      <c r="F87" s="3">
        <v>42</v>
      </c>
    </row>
    <row r="88" spans="1:6">
      <c r="A88" t="str">
        <f t="shared" si="2"/>
        <v>P-87</v>
      </c>
      <c r="B88" t="s">
        <v>25</v>
      </c>
      <c r="C88" t="s">
        <v>26</v>
      </c>
      <c r="D88" t="s">
        <v>165</v>
      </c>
      <c r="E88" t="s">
        <v>162</v>
      </c>
      <c r="F88" s="3">
        <v>42</v>
      </c>
    </row>
    <row r="89" spans="1:6">
      <c r="A89" t="str">
        <f t="shared" si="2"/>
        <v>P-88</v>
      </c>
      <c r="B89" t="s">
        <v>25</v>
      </c>
      <c r="C89" t="s">
        <v>26</v>
      </c>
      <c r="D89" t="s">
        <v>161</v>
      </c>
      <c r="E89" t="s">
        <v>162</v>
      </c>
      <c r="F89" s="3">
        <v>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F12A-EE7C-4391-8C3B-F9D67A3683B7}">
  <dimension ref="B1:D89"/>
  <sheetViews>
    <sheetView topLeftCell="B1" workbookViewId="0">
      <selection activeCell="D98" sqref="D98"/>
    </sheetView>
  </sheetViews>
  <sheetFormatPr defaultRowHeight="14.4"/>
  <cols>
    <col min="2" max="2" width="13.33203125" customWidth="1"/>
    <col min="3" max="3" width="18.88671875" customWidth="1"/>
    <col min="4" max="4" width="21" customWidth="1"/>
  </cols>
  <sheetData>
    <row r="1" spans="2:4">
      <c r="B1" s="16" t="s">
        <v>175</v>
      </c>
      <c r="C1" s="16" t="s">
        <v>8</v>
      </c>
      <c r="D1" s="16" t="s">
        <v>9</v>
      </c>
    </row>
    <row r="2" spans="2:4">
      <c r="B2" t="str">
        <f t="shared" ref="B2:B33" si="0">"L-"&amp;ROW()-1</f>
        <v>L-1</v>
      </c>
      <c r="C2" t="s">
        <v>23</v>
      </c>
      <c r="D2" t="s">
        <v>24</v>
      </c>
    </row>
    <row r="3" spans="2:4">
      <c r="B3" t="str">
        <f t="shared" si="0"/>
        <v>L-2</v>
      </c>
      <c r="C3" t="s">
        <v>29</v>
      </c>
      <c r="D3" t="s">
        <v>30</v>
      </c>
    </row>
    <row r="4" spans="2:4">
      <c r="B4" t="str">
        <f t="shared" si="0"/>
        <v>L-3</v>
      </c>
      <c r="C4" t="s">
        <v>23</v>
      </c>
      <c r="D4" t="s">
        <v>24</v>
      </c>
    </row>
    <row r="5" spans="2:4">
      <c r="B5" t="str">
        <f t="shared" si="0"/>
        <v>L-4</v>
      </c>
      <c r="C5" t="s">
        <v>37</v>
      </c>
      <c r="D5" t="s">
        <v>38</v>
      </c>
    </row>
    <row r="6" spans="2:4">
      <c r="B6" t="str">
        <f t="shared" si="0"/>
        <v>L-5</v>
      </c>
      <c r="C6" t="s">
        <v>23</v>
      </c>
      <c r="D6" t="s">
        <v>24</v>
      </c>
    </row>
    <row r="7" spans="2:4">
      <c r="B7" t="str">
        <f t="shared" si="0"/>
        <v>L-6</v>
      </c>
      <c r="C7" t="s">
        <v>29</v>
      </c>
      <c r="D7" t="s">
        <v>30</v>
      </c>
    </row>
    <row r="8" spans="2:4">
      <c r="B8" t="str">
        <f t="shared" si="0"/>
        <v>L-7</v>
      </c>
      <c r="C8" t="s">
        <v>23</v>
      </c>
      <c r="D8" t="s">
        <v>47</v>
      </c>
    </row>
    <row r="9" spans="2:4">
      <c r="B9" t="str">
        <f t="shared" si="0"/>
        <v>L-8</v>
      </c>
      <c r="C9" t="s">
        <v>37</v>
      </c>
      <c r="D9" t="s">
        <v>38</v>
      </c>
    </row>
    <row r="10" spans="2:4">
      <c r="B10" t="str">
        <f t="shared" si="0"/>
        <v>L-9</v>
      </c>
      <c r="C10" t="s">
        <v>23</v>
      </c>
      <c r="D10" t="s">
        <v>24</v>
      </c>
    </row>
    <row r="11" spans="2:4">
      <c r="B11" t="str">
        <f t="shared" si="0"/>
        <v>L-10</v>
      </c>
      <c r="C11" t="s">
        <v>51</v>
      </c>
      <c r="D11" t="s">
        <v>52</v>
      </c>
    </row>
    <row r="12" spans="2:4">
      <c r="B12" t="str">
        <f t="shared" si="0"/>
        <v>L-11</v>
      </c>
      <c r="C12" t="s">
        <v>37</v>
      </c>
      <c r="D12" t="s">
        <v>54</v>
      </c>
    </row>
    <row r="13" spans="2:4">
      <c r="B13" t="str">
        <f t="shared" si="0"/>
        <v>L-12</v>
      </c>
      <c r="C13" t="s">
        <v>23</v>
      </c>
      <c r="D13" t="s">
        <v>24</v>
      </c>
    </row>
    <row r="14" spans="2:4">
      <c r="B14" t="str">
        <f t="shared" si="0"/>
        <v>L-13</v>
      </c>
      <c r="C14" t="s">
        <v>29</v>
      </c>
      <c r="D14" t="s">
        <v>30</v>
      </c>
    </row>
    <row r="15" spans="2:4">
      <c r="B15" t="str">
        <f t="shared" si="0"/>
        <v>L-14</v>
      </c>
      <c r="C15" t="s">
        <v>59</v>
      </c>
      <c r="D15" t="s">
        <v>60</v>
      </c>
    </row>
    <row r="16" spans="2:4">
      <c r="B16" t="str">
        <f t="shared" si="0"/>
        <v>L-15</v>
      </c>
      <c r="C16" t="s">
        <v>37</v>
      </c>
      <c r="D16" t="s">
        <v>38</v>
      </c>
    </row>
    <row r="17" spans="2:4">
      <c r="B17" t="str">
        <f t="shared" si="0"/>
        <v>L-16</v>
      </c>
      <c r="C17" t="s">
        <v>29</v>
      </c>
      <c r="D17" t="s">
        <v>30</v>
      </c>
    </row>
    <row r="18" spans="2:4">
      <c r="B18" t="str">
        <f t="shared" si="0"/>
        <v>L-17</v>
      </c>
      <c r="C18" t="s">
        <v>23</v>
      </c>
      <c r="D18" t="s">
        <v>24</v>
      </c>
    </row>
    <row r="19" spans="2:4">
      <c r="B19" t="str">
        <f t="shared" si="0"/>
        <v>L-18</v>
      </c>
      <c r="C19" t="s">
        <v>23</v>
      </c>
      <c r="D19" t="s">
        <v>24</v>
      </c>
    </row>
    <row r="20" spans="2:4">
      <c r="B20" t="str">
        <f t="shared" si="0"/>
        <v>L-19</v>
      </c>
      <c r="C20" t="s">
        <v>37</v>
      </c>
      <c r="D20" t="s">
        <v>38</v>
      </c>
    </row>
    <row r="21" spans="2:4">
      <c r="B21" t="str">
        <f t="shared" si="0"/>
        <v>L-20</v>
      </c>
      <c r="C21" t="s">
        <v>59</v>
      </c>
      <c r="D21" t="s">
        <v>60</v>
      </c>
    </row>
    <row r="22" spans="2:4">
      <c r="B22" t="str">
        <f t="shared" si="0"/>
        <v>L-21</v>
      </c>
      <c r="C22" t="s">
        <v>23</v>
      </c>
      <c r="D22" t="s">
        <v>72</v>
      </c>
    </row>
    <row r="23" spans="2:4">
      <c r="B23" t="str">
        <f t="shared" si="0"/>
        <v>L-22</v>
      </c>
      <c r="C23" t="s">
        <v>23</v>
      </c>
      <c r="D23" t="s">
        <v>24</v>
      </c>
    </row>
    <row r="24" spans="2:4">
      <c r="B24" t="str">
        <f t="shared" si="0"/>
        <v>L-23</v>
      </c>
      <c r="C24" t="s">
        <v>37</v>
      </c>
      <c r="D24" t="s">
        <v>76</v>
      </c>
    </row>
    <row r="25" spans="2:4">
      <c r="B25" t="str">
        <f t="shared" si="0"/>
        <v>L-24</v>
      </c>
      <c r="C25" t="s">
        <v>51</v>
      </c>
      <c r="D25" t="s">
        <v>79</v>
      </c>
    </row>
    <row r="26" spans="2:4">
      <c r="B26" t="str">
        <f t="shared" si="0"/>
        <v>L-25</v>
      </c>
      <c r="C26" t="s">
        <v>23</v>
      </c>
      <c r="D26" t="s">
        <v>24</v>
      </c>
    </row>
    <row r="27" spans="2:4">
      <c r="B27" t="str">
        <f t="shared" si="0"/>
        <v>L-26</v>
      </c>
      <c r="C27" t="s">
        <v>37</v>
      </c>
      <c r="D27" t="s">
        <v>38</v>
      </c>
    </row>
    <row r="28" spans="2:4">
      <c r="B28" t="str">
        <f t="shared" si="0"/>
        <v>L-27</v>
      </c>
      <c r="C28" t="s">
        <v>29</v>
      </c>
      <c r="D28" t="s">
        <v>30</v>
      </c>
    </row>
    <row r="29" spans="2:4">
      <c r="B29" t="str">
        <f t="shared" si="0"/>
        <v>L-28</v>
      </c>
      <c r="C29" t="s">
        <v>23</v>
      </c>
      <c r="D29" t="s">
        <v>24</v>
      </c>
    </row>
    <row r="30" spans="2:4">
      <c r="B30" t="str">
        <f t="shared" si="0"/>
        <v>L-29</v>
      </c>
      <c r="C30" t="s">
        <v>23</v>
      </c>
      <c r="D30" t="s">
        <v>47</v>
      </c>
    </row>
    <row r="31" spans="2:4">
      <c r="B31" t="str">
        <f t="shared" si="0"/>
        <v>L-30</v>
      </c>
      <c r="C31" t="s">
        <v>37</v>
      </c>
      <c r="D31" t="s">
        <v>38</v>
      </c>
    </row>
    <row r="32" spans="2:4">
      <c r="B32" t="str">
        <f t="shared" si="0"/>
        <v>L-31</v>
      </c>
      <c r="C32" t="s">
        <v>89</v>
      </c>
      <c r="D32" t="s">
        <v>90</v>
      </c>
    </row>
    <row r="33" spans="2:4">
      <c r="B33" t="str">
        <f t="shared" si="0"/>
        <v>L-32</v>
      </c>
      <c r="C33" t="s">
        <v>37</v>
      </c>
      <c r="D33" t="s">
        <v>38</v>
      </c>
    </row>
    <row r="34" spans="2:4">
      <c r="B34" t="str">
        <f t="shared" ref="B34:B65" si="1">"L-"&amp;ROW()-1</f>
        <v>L-33</v>
      </c>
      <c r="C34" t="s">
        <v>59</v>
      </c>
      <c r="D34" t="s">
        <v>60</v>
      </c>
    </row>
    <row r="35" spans="2:4">
      <c r="B35" t="str">
        <f t="shared" si="1"/>
        <v>L-34</v>
      </c>
      <c r="C35" t="s">
        <v>23</v>
      </c>
      <c r="D35" t="s">
        <v>24</v>
      </c>
    </row>
    <row r="36" spans="2:4">
      <c r="B36" t="str">
        <f t="shared" si="1"/>
        <v>L-35</v>
      </c>
      <c r="C36" t="s">
        <v>23</v>
      </c>
      <c r="D36" t="s">
        <v>24</v>
      </c>
    </row>
    <row r="37" spans="2:4">
      <c r="B37" t="str">
        <f t="shared" si="1"/>
        <v>L-36</v>
      </c>
      <c r="C37" t="s">
        <v>37</v>
      </c>
      <c r="D37" t="s">
        <v>38</v>
      </c>
    </row>
    <row r="38" spans="2:4">
      <c r="B38" t="str">
        <f t="shared" si="1"/>
        <v>L-37</v>
      </c>
      <c r="C38" t="s">
        <v>23</v>
      </c>
      <c r="D38" t="s">
        <v>24</v>
      </c>
    </row>
    <row r="39" spans="2:4">
      <c r="B39" t="str">
        <f t="shared" si="1"/>
        <v>L-38</v>
      </c>
      <c r="C39" t="s">
        <v>37</v>
      </c>
      <c r="D39" t="s">
        <v>38</v>
      </c>
    </row>
    <row r="40" spans="2:4">
      <c r="B40" t="str">
        <f t="shared" si="1"/>
        <v>L-39</v>
      </c>
      <c r="C40" t="s">
        <v>37</v>
      </c>
      <c r="D40" t="s">
        <v>76</v>
      </c>
    </row>
    <row r="41" spans="2:4">
      <c r="B41" t="str">
        <f t="shared" si="1"/>
        <v>L-40</v>
      </c>
      <c r="C41" t="s">
        <v>23</v>
      </c>
      <c r="D41" t="s">
        <v>47</v>
      </c>
    </row>
    <row r="42" spans="2:4">
      <c r="B42" t="str">
        <f t="shared" si="1"/>
        <v>L-41</v>
      </c>
      <c r="C42" t="s">
        <v>37</v>
      </c>
      <c r="D42" t="s">
        <v>54</v>
      </c>
    </row>
    <row r="43" spans="2:4">
      <c r="B43" t="str">
        <f t="shared" si="1"/>
        <v>L-42</v>
      </c>
      <c r="C43" t="s">
        <v>23</v>
      </c>
      <c r="D43" t="s">
        <v>24</v>
      </c>
    </row>
    <row r="44" spans="2:4">
      <c r="B44" t="str">
        <f t="shared" si="1"/>
        <v>L-43</v>
      </c>
      <c r="C44" t="s">
        <v>29</v>
      </c>
      <c r="D44" t="s">
        <v>30</v>
      </c>
    </row>
    <row r="45" spans="2:4">
      <c r="B45" t="str">
        <f t="shared" si="1"/>
        <v>L-44</v>
      </c>
      <c r="C45" t="s">
        <v>29</v>
      </c>
      <c r="D45" t="s">
        <v>30</v>
      </c>
    </row>
    <row r="46" spans="2:4">
      <c r="B46" t="str">
        <f t="shared" si="1"/>
        <v>L-45</v>
      </c>
      <c r="C46" t="s">
        <v>23</v>
      </c>
      <c r="D46" t="s">
        <v>47</v>
      </c>
    </row>
    <row r="47" spans="2:4">
      <c r="B47" t="str">
        <f t="shared" si="1"/>
        <v>L-46</v>
      </c>
      <c r="C47" t="s">
        <v>23</v>
      </c>
      <c r="D47" t="s">
        <v>24</v>
      </c>
    </row>
    <row r="48" spans="2:4">
      <c r="B48" t="str">
        <f t="shared" si="1"/>
        <v>L-47</v>
      </c>
      <c r="C48" t="s">
        <v>37</v>
      </c>
      <c r="D48" t="s">
        <v>76</v>
      </c>
    </row>
    <row r="49" spans="2:4">
      <c r="B49" t="str">
        <f t="shared" si="1"/>
        <v>L-48</v>
      </c>
      <c r="C49" t="s">
        <v>23</v>
      </c>
      <c r="D49" t="s">
        <v>24</v>
      </c>
    </row>
    <row r="50" spans="2:4">
      <c r="B50" t="str">
        <f t="shared" si="1"/>
        <v>L-49</v>
      </c>
      <c r="C50" t="s">
        <v>37</v>
      </c>
      <c r="D50" t="s">
        <v>38</v>
      </c>
    </row>
    <row r="51" spans="2:4">
      <c r="B51" t="str">
        <f t="shared" si="1"/>
        <v>L-50</v>
      </c>
      <c r="C51" t="s">
        <v>37</v>
      </c>
      <c r="D51" t="s">
        <v>38</v>
      </c>
    </row>
    <row r="52" spans="2:4">
      <c r="B52" t="str">
        <f t="shared" si="1"/>
        <v>L-51</v>
      </c>
      <c r="C52" t="s">
        <v>89</v>
      </c>
      <c r="D52" t="s">
        <v>112</v>
      </c>
    </row>
    <row r="53" spans="2:4">
      <c r="B53" t="str">
        <f t="shared" si="1"/>
        <v>L-52</v>
      </c>
      <c r="C53" t="s">
        <v>23</v>
      </c>
      <c r="D53" t="s">
        <v>47</v>
      </c>
    </row>
    <row r="54" spans="2:4">
      <c r="B54" t="str">
        <f t="shared" si="1"/>
        <v>L-53</v>
      </c>
      <c r="C54" t="s">
        <v>37</v>
      </c>
      <c r="D54" t="s">
        <v>38</v>
      </c>
    </row>
    <row r="55" spans="2:4">
      <c r="B55" t="str">
        <f t="shared" si="1"/>
        <v>L-54</v>
      </c>
      <c r="C55" t="s">
        <v>51</v>
      </c>
      <c r="D55" t="s">
        <v>52</v>
      </c>
    </row>
    <row r="56" spans="2:4">
      <c r="B56" t="str">
        <f t="shared" si="1"/>
        <v>L-55</v>
      </c>
      <c r="C56" t="s">
        <v>37</v>
      </c>
      <c r="D56" t="s">
        <v>38</v>
      </c>
    </row>
    <row r="57" spans="2:4">
      <c r="B57" t="str">
        <f t="shared" si="1"/>
        <v>L-56</v>
      </c>
      <c r="C57" t="s">
        <v>51</v>
      </c>
      <c r="D57" t="s">
        <v>52</v>
      </c>
    </row>
    <row r="58" spans="2:4">
      <c r="B58" t="str">
        <f t="shared" si="1"/>
        <v>L-57</v>
      </c>
      <c r="C58" t="s">
        <v>89</v>
      </c>
      <c r="D58" t="s">
        <v>120</v>
      </c>
    </row>
    <row r="59" spans="2:4">
      <c r="B59" t="str">
        <f t="shared" si="1"/>
        <v>L-58</v>
      </c>
      <c r="C59" t="s">
        <v>29</v>
      </c>
      <c r="D59" t="s">
        <v>30</v>
      </c>
    </row>
    <row r="60" spans="2:4">
      <c r="B60" t="str">
        <f t="shared" si="1"/>
        <v>L-59</v>
      </c>
      <c r="C60" t="s">
        <v>23</v>
      </c>
      <c r="D60" t="s">
        <v>24</v>
      </c>
    </row>
    <row r="61" spans="2:4">
      <c r="B61" t="str">
        <f t="shared" si="1"/>
        <v>L-60</v>
      </c>
      <c r="C61" t="s">
        <v>89</v>
      </c>
      <c r="D61" t="s">
        <v>90</v>
      </c>
    </row>
    <row r="62" spans="2:4">
      <c r="B62" t="str">
        <f t="shared" si="1"/>
        <v>L-61</v>
      </c>
      <c r="C62" t="s">
        <v>23</v>
      </c>
      <c r="D62" t="s">
        <v>47</v>
      </c>
    </row>
    <row r="63" spans="2:4">
      <c r="B63" t="str">
        <f t="shared" si="1"/>
        <v>L-62</v>
      </c>
      <c r="C63" t="s">
        <v>89</v>
      </c>
      <c r="D63" t="s">
        <v>126</v>
      </c>
    </row>
    <row r="64" spans="2:4">
      <c r="B64" t="str">
        <f t="shared" si="1"/>
        <v>L-63</v>
      </c>
      <c r="C64" t="s">
        <v>37</v>
      </c>
      <c r="D64" t="s">
        <v>76</v>
      </c>
    </row>
    <row r="65" spans="2:4">
      <c r="B65" t="str">
        <f t="shared" si="1"/>
        <v>L-64</v>
      </c>
      <c r="C65" t="s">
        <v>89</v>
      </c>
      <c r="D65" t="s">
        <v>90</v>
      </c>
    </row>
    <row r="66" spans="2:4">
      <c r="B66" t="str">
        <f t="shared" ref="B66:B89" si="2">"L-"&amp;ROW()-1</f>
        <v>L-65</v>
      </c>
      <c r="C66" t="s">
        <v>23</v>
      </c>
      <c r="D66" t="s">
        <v>72</v>
      </c>
    </row>
    <row r="67" spans="2:4">
      <c r="B67" t="str">
        <f t="shared" si="2"/>
        <v>L-66</v>
      </c>
      <c r="C67" t="s">
        <v>23</v>
      </c>
      <c r="D67" t="s">
        <v>72</v>
      </c>
    </row>
    <row r="68" spans="2:4">
      <c r="B68" t="str">
        <f t="shared" si="2"/>
        <v>L-67</v>
      </c>
      <c r="C68" t="s">
        <v>23</v>
      </c>
      <c r="D68" t="s">
        <v>24</v>
      </c>
    </row>
    <row r="69" spans="2:4">
      <c r="B69" t="str">
        <f t="shared" si="2"/>
        <v>L-68</v>
      </c>
      <c r="C69" t="s">
        <v>37</v>
      </c>
      <c r="D69" t="s">
        <v>54</v>
      </c>
    </row>
    <row r="70" spans="2:4">
      <c r="B70" t="str">
        <f t="shared" si="2"/>
        <v>L-69</v>
      </c>
      <c r="C70" t="s">
        <v>37</v>
      </c>
      <c r="D70" t="s">
        <v>136</v>
      </c>
    </row>
    <row r="71" spans="2:4">
      <c r="B71" t="str">
        <f t="shared" si="2"/>
        <v>L-70</v>
      </c>
      <c r="C71" t="s">
        <v>51</v>
      </c>
      <c r="D71" t="s">
        <v>138</v>
      </c>
    </row>
    <row r="72" spans="2:4">
      <c r="B72" t="str">
        <f t="shared" si="2"/>
        <v>L-71</v>
      </c>
      <c r="C72" t="s">
        <v>23</v>
      </c>
      <c r="D72" t="s">
        <v>47</v>
      </c>
    </row>
    <row r="73" spans="2:4">
      <c r="B73" t="str">
        <f t="shared" si="2"/>
        <v>L-72</v>
      </c>
      <c r="C73" t="s">
        <v>37</v>
      </c>
      <c r="D73" t="s">
        <v>76</v>
      </c>
    </row>
    <row r="74" spans="2:4">
      <c r="B74" t="str">
        <f t="shared" si="2"/>
        <v>L-73</v>
      </c>
      <c r="C74" t="s">
        <v>37</v>
      </c>
      <c r="D74" t="s">
        <v>54</v>
      </c>
    </row>
    <row r="75" spans="2:4">
      <c r="B75" t="str">
        <f t="shared" si="2"/>
        <v>L-74</v>
      </c>
      <c r="C75" t="s">
        <v>59</v>
      </c>
      <c r="D75" t="s">
        <v>60</v>
      </c>
    </row>
    <row r="76" spans="2:4">
      <c r="B76" t="str">
        <f t="shared" si="2"/>
        <v>L-75</v>
      </c>
      <c r="C76" t="s">
        <v>37</v>
      </c>
      <c r="D76" t="s">
        <v>54</v>
      </c>
    </row>
    <row r="77" spans="2:4">
      <c r="B77" t="str">
        <f t="shared" si="2"/>
        <v>L-76</v>
      </c>
      <c r="C77" t="s">
        <v>37</v>
      </c>
      <c r="D77" t="s">
        <v>76</v>
      </c>
    </row>
    <row r="78" spans="2:4">
      <c r="B78" t="str">
        <f t="shared" si="2"/>
        <v>L-77</v>
      </c>
      <c r="C78" t="s">
        <v>89</v>
      </c>
      <c r="D78" t="s">
        <v>147</v>
      </c>
    </row>
    <row r="79" spans="2:4">
      <c r="B79" t="str">
        <f t="shared" si="2"/>
        <v>L-78</v>
      </c>
      <c r="C79" t="s">
        <v>29</v>
      </c>
      <c r="D79" t="s">
        <v>30</v>
      </c>
    </row>
    <row r="80" spans="2:4">
      <c r="B80" t="str">
        <f t="shared" si="2"/>
        <v>L-79</v>
      </c>
      <c r="C80" t="s">
        <v>23</v>
      </c>
      <c r="D80" t="s">
        <v>47</v>
      </c>
    </row>
    <row r="81" spans="2:4">
      <c r="B81" t="str">
        <f t="shared" si="2"/>
        <v>L-80</v>
      </c>
      <c r="C81" t="s">
        <v>23</v>
      </c>
      <c r="D81" t="s">
        <v>24</v>
      </c>
    </row>
    <row r="82" spans="2:4">
      <c r="B82" t="str">
        <f t="shared" si="2"/>
        <v>L-81</v>
      </c>
      <c r="C82" t="s">
        <v>37</v>
      </c>
      <c r="D82" t="s">
        <v>38</v>
      </c>
    </row>
    <row r="83" spans="2:4">
      <c r="B83" t="str">
        <f t="shared" si="2"/>
        <v>L-82</v>
      </c>
      <c r="C83" t="s">
        <v>89</v>
      </c>
      <c r="D83" t="s">
        <v>90</v>
      </c>
    </row>
    <row r="84" spans="2:4">
      <c r="B84" t="str">
        <f t="shared" si="2"/>
        <v>L-83</v>
      </c>
      <c r="C84" t="s">
        <v>59</v>
      </c>
      <c r="D84" t="s">
        <v>60</v>
      </c>
    </row>
    <row r="85" spans="2:4">
      <c r="B85" t="str">
        <f t="shared" si="2"/>
        <v>L-84</v>
      </c>
      <c r="C85" t="s">
        <v>51</v>
      </c>
      <c r="D85" t="s">
        <v>138</v>
      </c>
    </row>
    <row r="86" spans="2:4">
      <c r="B86" t="str">
        <f t="shared" si="2"/>
        <v>L-85</v>
      </c>
      <c r="C86" t="s">
        <v>23</v>
      </c>
      <c r="D86" t="s">
        <v>72</v>
      </c>
    </row>
    <row r="87" spans="2:4">
      <c r="B87" t="str">
        <f t="shared" si="2"/>
        <v>L-86</v>
      </c>
      <c r="C87" t="s">
        <v>59</v>
      </c>
      <c r="D87" t="s">
        <v>60</v>
      </c>
    </row>
    <row r="88" spans="2:4">
      <c r="B88" t="str">
        <f t="shared" si="2"/>
        <v>L-87</v>
      </c>
      <c r="C88" t="s">
        <v>23</v>
      </c>
      <c r="D88" t="s">
        <v>24</v>
      </c>
    </row>
    <row r="89" spans="2:4">
      <c r="B89" t="str">
        <f t="shared" si="2"/>
        <v>L-88</v>
      </c>
      <c r="C89" t="s">
        <v>37</v>
      </c>
      <c r="D89" t="s">
        <v>54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032D-271B-49DA-90FC-DEA12C9124B2}">
  <dimension ref="A1:E89"/>
  <sheetViews>
    <sheetView workbookViewId="0">
      <selection activeCell="E90" sqref="A90:E90"/>
    </sheetView>
  </sheetViews>
  <sheetFormatPr defaultRowHeight="14.4"/>
  <cols>
    <col min="1" max="1" width="10" customWidth="1"/>
    <col min="2" max="2" width="14" customWidth="1"/>
    <col min="4" max="4" width="12.5546875" customWidth="1"/>
    <col min="5" max="5" width="11.88671875" customWidth="1"/>
  </cols>
  <sheetData>
    <row r="1" spans="1:5">
      <c r="A1" s="16" t="s">
        <v>177</v>
      </c>
      <c r="B1" s="23" t="s">
        <v>1</v>
      </c>
      <c r="C1" s="16" t="s">
        <v>2</v>
      </c>
      <c r="D1" s="16" t="s">
        <v>3</v>
      </c>
      <c r="E1" s="16" t="s">
        <v>4</v>
      </c>
    </row>
    <row r="2" spans="1:5">
      <c r="A2" t="str">
        <f t="shared" ref="A2:A33" si="0">"D-"&amp;ROW()-1</f>
        <v>D-1</v>
      </c>
      <c r="B2" s="6">
        <v>44531</v>
      </c>
      <c r="C2">
        <f t="shared" ref="C2:C33" si="1">DAY(B2)</f>
        <v>1</v>
      </c>
      <c r="D2">
        <f t="shared" ref="D2:D33" si="2">MONTH(B2)</f>
        <v>12</v>
      </c>
      <c r="E2">
        <f t="shared" ref="E2:E33" si="3">YEAR(B2)</f>
        <v>2021</v>
      </c>
    </row>
    <row r="3" spans="1:5">
      <c r="A3" t="str">
        <f t="shared" si="0"/>
        <v>D-2</v>
      </c>
      <c r="B3" s="6">
        <v>44531</v>
      </c>
      <c r="C3">
        <f t="shared" si="1"/>
        <v>1</v>
      </c>
      <c r="D3">
        <f t="shared" si="2"/>
        <v>12</v>
      </c>
      <c r="E3">
        <f t="shared" si="3"/>
        <v>2021</v>
      </c>
    </row>
    <row r="4" spans="1:5">
      <c r="A4" t="str">
        <f t="shared" si="0"/>
        <v>D-3</v>
      </c>
      <c r="B4" s="6">
        <v>44532</v>
      </c>
      <c r="C4">
        <f t="shared" si="1"/>
        <v>2</v>
      </c>
      <c r="D4">
        <f t="shared" si="2"/>
        <v>12</v>
      </c>
      <c r="E4">
        <f t="shared" si="3"/>
        <v>2021</v>
      </c>
    </row>
    <row r="5" spans="1:5">
      <c r="A5" t="str">
        <f t="shared" si="0"/>
        <v>D-4</v>
      </c>
      <c r="B5" s="6">
        <v>44532</v>
      </c>
      <c r="C5">
        <f t="shared" si="1"/>
        <v>2</v>
      </c>
      <c r="D5">
        <f t="shared" si="2"/>
        <v>12</v>
      </c>
      <c r="E5">
        <f t="shared" si="3"/>
        <v>2021</v>
      </c>
    </row>
    <row r="6" spans="1:5">
      <c r="A6" t="str">
        <f t="shared" si="0"/>
        <v>D-5</v>
      </c>
      <c r="B6" s="6">
        <v>44533</v>
      </c>
      <c r="C6">
        <f t="shared" si="1"/>
        <v>3</v>
      </c>
      <c r="D6">
        <f t="shared" si="2"/>
        <v>12</v>
      </c>
      <c r="E6">
        <f t="shared" si="3"/>
        <v>2021</v>
      </c>
    </row>
    <row r="7" spans="1:5">
      <c r="A7" t="str">
        <f t="shared" si="0"/>
        <v>D-6</v>
      </c>
      <c r="B7" s="6">
        <v>44533</v>
      </c>
      <c r="C7">
        <f t="shared" si="1"/>
        <v>3</v>
      </c>
      <c r="D7">
        <f t="shared" si="2"/>
        <v>12</v>
      </c>
      <c r="E7">
        <f t="shared" si="3"/>
        <v>2021</v>
      </c>
    </row>
    <row r="8" spans="1:5">
      <c r="A8" t="str">
        <f t="shared" si="0"/>
        <v>D-7</v>
      </c>
      <c r="B8" s="6">
        <v>44533</v>
      </c>
      <c r="C8">
        <f t="shared" si="1"/>
        <v>3</v>
      </c>
      <c r="D8">
        <f t="shared" si="2"/>
        <v>12</v>
      </c>
      <c r="E8">
        <f t="shared" si="3"/>
        <v>2021</v>
      </c>
    </row>
    <row r="9" spans="1:5">
      <c r="A9" t="str">
        <f t="shared" si="0"/>
        <v>D-8</v>
      </c>
      <c r="B9" s="6">
        <v>44534</v>
      </c>
      <c r="C9">
        <f t="shared" si="1"/>
        <v>4</v>
      </c>
      <c r="D9">
        <f t="shared" si="2"/>
        <v>12</v>
      </c>
      <c r="E9">
        <f t="shared" si="3"/>
        <v>2021</v>
      </c>
    </row>
    <row r="10" spans="1:5">
      <c r="A10" t="str">
        <f t="shared" si="0"/>
        <v>D-9</v>
      </c>
      <c r="B10" s="6">
        <v>44535</v>
      </c>
      <c r="C10">
        <f t="shared" si="1"/>
        <v>5</v>
      </c>
      <c r="D10">
        <f t="shared" si="2"/>
        <v>12</v>
      </c>
      <c r="E10">
        <f t="shared" si="3"/>
        <v>2021</v>
      </c>
    </row>
    <row r="11" spans="1:5">
      <c r="A11" t="str">
        <f t="shared" si="0"/>
        <v>D-10</v>
      </c>
      <c r="B11" s="6">
        <v>44535</v>
      </c>
      <c r="C11">
        <f t="shared" si="1"/>
        <v>5</v>
      </c>
      <c r="D11">
        <f t="shared" si="2"/>
        <v>12</v>
      </c>
      <c r="E11">
        <f t="shared" si="3"/>
        <v>2021</v>
      </c>
    </row>
    <row r="12" spans="1:5">
      <c r="A12" t="str">
        <f t="shared" si="0"/>
        <v>D-11</v>
      </c>
      <c r="B12" s="6">
        <v>44535</v>
      </c>
      <c r="C12">
        <f t="shared" si="1"/>
        <v>5</v>
      </c>
      <c r="D12">
        <f t="shared" si="2"/>
        <v>12</v>
      </c>
      <c r="E12">
        <f t="shared" si="3"/>
        <v>2021</v>
      </c>
    </row>
    <row r="13" spans="1:5">
      <c r="A13" t="str">
        <f t="shared" si="0"/>
        <v>D-12</v>
      </c>
      <c r="B13" s="6">
        <v>44535</v>
      </c>
      <c r="C13">
        <f t="shared" si="1"/>
        <v>5</v>
      </c>
      <c r="D13">
        <f t="shared" si="2"/>
        <v>12</v>
      </c>
      <c r="E13">
        <f t="shared" si="3"/>
        <v>2021</v>
      </c>
    </row>
    <row r="14" spans="1:5">
      <c r="A14" t="str">
        <f t="shared" si="0"/>
        <v>D-13</v>
      </c>
      <c r="B14" s="6">
        <v>44536</v>
      </c>
      <c r="C14">
        <f t="shared" si="1"/>
        <v>6</v>
      </c>
      <c r="D14">
        <f t="shared" si="2"/>
        <v>12</v>
      </c>
      <c r="E14">
        <f t="shared" si="3"/>
        <v>2021</v>
      </c>
    </row>
    <row r="15" spans="1:5">
      <c r="A15" t="str">
        <f t="shared" si="0"/>
        <v>D-14</v>
      </c>
      <c r="B15" s="6">
        <v>44536</v>
      </c>
      <c r="C15">
        <f t="shared" si="1"/>
        <v>6</v>
      </c>
      <c r="D15">
        <f t="shared" si="2"/>
        <v>12</v>
      </c>
      <c r="E15">
        <f t="shared" si="3"/>
        <v>2021</v>
      </c>
    </row>
    <row r="16" spans="1:5">
      <c r="A16" t="str">
        <f t="shared" si="0"/>
        <v>D-15</v>
      </c>
      <c r="B16" s="6">
        <v>44536</v>
      </c>
      <c r="C16">
        <f t="shared" si="1"/>
        <v>6</v>
      </c>
      <c r="D16">
        <f t="shared" si="2"/>
        <v>12</v>
      </c>
      <c r="E16">
        <f t="shared" si="3"/>
        <v>2021</v>
      </c>
    </row>
    <row r="17" spans="1:5">
      <c r="A17" t="str">
        <f t="shared" si="0"/>
        <v>D-16</v>
      </c>
      <c r="B17" s="6">
        <v>44536</v>
      </c>
      <c r="C17">
        <f t="shared" si="1"/>
        <v>6</v>
      </c>
      <c r="D17">
        <f t="shared" si="2"/>
        <v>12</v>
      </c>
      <c r="E17">
        <f t="shared" si="3"/>
        <v>2021</v>
      </c>
    </row>
    <row r="18" spans="1:5">
      <c r="A18" t="str">
        <f t="shared" si="0"/>
        <v>D-17</v>
      </c>
      <c r="B18" s="6">
        <v>44537</v>
      </c>
      <c r="C18">
        <f t="shared" si="1"/>
        <v>7</v>
      </c>
      <c r="D18">
        <f t="shared" si="2"/>
        <v>12</v>
      </c>
      <c r="E18">
        <f t="shared" si="3"/>
        <v>2021</v>
      </c>
    </row>
    <row r="19" spans="1:5">
      <c r="A19" t="str">
        <f t="shared" si="0"/>
        <v>D-18</v>
      </c>
      <c r="B19" s="6">
        <v>44537</v>
      </c>
      <c r="C19">
        <f t="shared" si="1"/>
        <v>7</v>
      </c>
      <c r="D19">
        <f t="shared" si="2"/>
        <v>12</v>
      </c>
      <c r="E19">
        <f t="shared" si="3"/>
        <v>2021</v>
      </c>
    </row>
    <row r="20" spans="1:5">
      <c r="A20" t="str">
        <f t="shared" si="0"/>
        <v>D-19</v>
      </c>
      <c r="B20" s="6">
        <v>44538</v>
      </c>
      <c r="C20">
        <f t="shared" si="1"/>
        <v>8</v>
      </c>
      <c r="D20">
        <f t="shared" si="2"/>
        <v>12</v>
      </c>
      <c r="E20">
        <f t="shared" si="3"/>
        <v>2021</v>
      </c>
    </row>
    <row r="21" spans="1:5">
      <c r="A21" t="str">
        <f t="shared" si="0"/>
        <v>D-20</v>
      </c>
      <c r="B21" s="6">
        <v>44538</v>
      </c>
      <c r="C21">
        <f t="shared" si="1"/>
        <v>8</v>
      </c>
      <c r="D21">
        <f t="shared" si="2"/>
        <v>12</v>
      </c>
      <c r="E21">
        <f t="shared" si="3"/>
        <v>2021</v>
      </c>
    </row>
    <row r="22" spans="1:5">
      <c r="A22" t="str">
        <f t="shared" si="0"/>
        <v>D-21</v>
      </c>
      <c r="B22" s="6">
        <v>44538</v>
      </c>
      <c r="C22">
        <f t="shared" si="1"/>
        <v>8</v>
      </c>
      <c r="D22">
        <f t="shared" si="2"/>
        <v>12</v>
      </c>
      <c r="E22">
        <f t="shared" si="3"/>
        <v>2021</v>
      </c>
    </row>
    <row r="23" spans="1:5">
      <c r="A23" t="str">
        <f t="shared" si="0"/>
        <v>D-22</v>
      </c>
      <c r="B23" s="6">
        <v>44538</v>
      </c>
      <c r="C23">
        <f t="shared" si="1"/>
        <v>8</v>
      </c>
      <c r="D23">
        <f t="shared" si="2"/>
        <v>12</v>
      </c>
      <c r="E23">
        <f t="shared" si="3"/>
        <v>2021</v>
      </c>
    </row>
    <row r="24" spans="1:5">
      <c r="A24" t="str">
        <f t="shared" si="0"/>
        <v>D-23</v>
      </c>
      <c r="B24" s="6">
        <v>44539</v>
      </c>
      <c r="C24">
        <f t="shared" si="1"/>
        <v>9</v>
      </c>
      <c r="D24">
        <f t="shared" si="2"/>
        <v>12</v>
      </c>
      <c r="E24">
        <f t="shared" si="3"/>
        <v>2021</v>
      </c>
    </row>
    <row r="25" spans="1:5">
      <c r="A25" t="str">
        <f t="shared" si="0"/>
        <v>D-24</v>
      </c>
      <c r="B25" s="6">
        <v>44539</v>
      </c>
      <c r="C25">
        <f t="shared" si="1"/>
        <v>9</v>
      </c>
      <c r="D25">
        <f t="shared" si="2"/>
        <v>12</v>
      </c>
      <c r="E25">
        <f t="shared" si="3"/>
        <v>2021</v>
      </c>
    </row>
    <row r="26" spans="1:5">
      <c r="A26" t="str">
        <f t="shared" si="0"/>
        <v>D-25</v>
      </c>
      <c r="B26" s="6">
        <v>44540</v>
      </c>
      <c r="C26">
        <f t="shared" si="1"/>
        <v>10</v>
      </c>
      <c r="D26">
        <f t="shared" si="2"/>
        <v>12</v>
      </c>
      <c r="E26">
        <f t="shared" si="3"/>
        <v>2021</v>
      </c>
    </row>
    <row r="27" spans="1:5">
      <c r="A27" t="str">
        <f t="shared" si="0"/>
        <v>D-26</v>
      </c>
      <c r="B27" s="6">
        <v>44540</v>
      </c>
      <c r="C27">
        <f t="shared" si="1"/>
        <v>10</v>
      </c>
      <c r="D27">
        <f t="shared" si="2"/>
        <v>12</v>
      </c>
      <c r="E27">
        <f t="shared" si="3"/>
        <v>2021</v>
      </c>
    </row>
    <row r="28" spans="1:5">
      <c r="A28" t="str">
        <f t="shared" si="0"/>
        <v>D-27</v>
      </c>
      <c r="B28" s="6">
        <v>44540</v>
      </c>
      <c r="C28">
        <f t="shared" si="1"/>
        <v>10</v>
      </c>
      <c r="D28">
        <f t="shared" si="2"/>
        <v>12</v>
      </c>
      <c r="E28">
        <f t="shared" si="3"/>
        <v>2021</v>
      </c>
    </row>
    <row r="29" spans="1:5">
      <c r="A29" t="str">
        <f t="shared" si="0"/>
        <v>D-28</v>
      </c>
      <c r="B29" s="6">
        <v>44540</v>
      </c>
      <c r="C29">
        <f t="shared" si="1"/>
        <v>10</v>
      </c>
      <c r="D29">
        <f t="shared" si="2"/>
        <v>12</v>
      </c>
      <c r="E29">
        <f t="shared" si="3"/>
        <v>2021</v>
      </c>
    </row>
    <row r="30" spans="1:5">
      <c r="A30" t="str">
        <f t="shared" si="0"/>
        <v>D-29</v>
      </c>
      <c r="B30" s="6">
        <v>44540</v>
      </c>
      <c r="C30">
        <f t="shared" si="1"/>
        <v>10</v>
      </c>
      <c r="D30">
        <f t="shared" si="2"/>
        <v>12</v>
      </c>
      <c r="E30">
        <f t="shared" si="3"/>
        <v>2021</v>
      </c>
    </row>
    <row r="31" spans="1:5">
      <c r="A31" t="str">
        <f t="shared" si="0"/>
        <v>D-30</v>
      </c>
      <c r="B31" s="6">
        <v>44540</v>
      </c>
      <c r="C31">
        <f t="shared" si="1"/>
        <v>10</v>
      </c>
      <c r="D31">
        <f t="shared" si="2"/>
        <v>12</v>
      </c>
      <c r="E31">
        <f t="shared" si="3"/>
        <v>2021</v>
      </c>
    </row>
    <row r="32" spans="1:5">
      <c r="A32" t="str">
        <f t="shared" si="0"/>
        <v>D-31</v>
      </c>
      <c r="B32" s="6">
        <v>44541</v>
      </c>
      <c r="C32">
        <f t="shared" si="1"/>
        <v>11</v>
      </c>
      <c r="D32">
        <f t="shared" si="2"/>
        <v>12</v>
      </c>
      <c r="E32">
        <f t="shared" si="3"/>
        <v>2021</v>
      </c>
    </row>
    <row r="33" spans="1:5">
      <c r="A33" t="str">
        <f t="shared" si="0"/>
        <v>D-32</v>
      </c>
      <c r="B33" s="6">
        <v>44541</v>
      </c>
      <c r="C33">
        <f t="shared" si="1"/>
        <v>11</v>
      </c>
      <c r="D33">
        <f t="shared" si="2"/>
        <v>12</v>
      </c>
      <c r="E33">
        <f t="shared" si="3"/>
        <v>2021</v>
      </c>
    </row>
    <row r="34" spans="1:5">
      <c r="A34" t="str">
        <f t="shared" ref="A34:A65" si="4">"D-"&amp;ROW()-1</f>
        <v>D-33</v>
      </c>
      <c r="B34" s="6">
        <v>44541</v>
      </c>
      <c r="C34">
        <f t="shared" ref="C34:C65" si="5">DAY(B34)</f>
        <v>11</v>
      </c>
      <c r="D34">
        <f t="shared" ref="D34:D65" si="6">MONTH(B34)</f>
        <v>12</v>
      </c>
      <c r="E34">
        <f t="shared" ref="E34:E65" si="7">YEAR(B34)</f>
        <v>2021</v>
      </c>
    </row>
    <row r="35" spans="1:5">
      <c r="A35" t="str">
        <f t="shared" si="4"/>
        <v>D-34</v>
      </c>
      <c r="B35" s="6">
        <v>44541</v>
      </c>
      <c r="C35">
        <f t="shared" si="5"/>
        <v>11</v>
      </c>
      <c r="D35">
        <f t="shared" si="6"/>
        <v>12</v>
      </c>
      <c r="E35">
        <f t="shared" si="7"/>
        <v>2021</v>
      </c>
    </row>
    <row r="36" spans="1:5">
      <c r="A36" t="str">
        <f t="shared" si="4"/>
        <v>D-35</v>
      </c>
      <c r="B36" s="6">
        <v>44541</v>
      </c>
      <c r="C36">
        <f t="shared" si="5"/>
        <v>11</v>
      </c>
      <c r="D36">
        <f t="shared" si="6"/>
        <v>12</v>
      </c>
      <c r="E36">
        <f t="shared" si="7"/>
        <v>2021</v>
      </c>
    </row>
    <row r="37" spans="1:5">
      <c r="A37" t="str">
        <f t="shared" si="4"/>
        <v>D-36</v>
      </c>
      <c r="B37" s="6">
        <v>44542</v>
      </c>
      <c r="C37">
        <f t="shared" si="5"/>
        <v>12</v>
      </c>
      <c r="D37">
        <f t="shared" si="6"/>
        <v>12</v>
      </c>
      <c r="E37">
        <f t="shared" si="7"/>
        <v>2021</v>
      </c>
    </row>
    <row r="38" spans="1:5">
      <c r="A38" t="str">
        <f t="shared" si="4"/>
        <v>D-37</v>
      </c>
      <c r="B38" s="6">
        <v>44542</v>
      </c>
      <c r="C38">
        <f t="shared" si="5"/>
        <v>12</v>
      </c>
      <c r="D38">
        <f t="shared" si="6"/>
        <v>12</v>
      </c>
      <c r="E38">
        <f t="shared" si="7"/>
        <v>2021</v>
      </c>
    </row>
    <row r="39" spans="1:5">
      <c r="A39" t="str">
        <f t="shared" si="4"/>
        <v>D-38</v>
      </c>
      <c r="B39" s="6">
        <v>44542</v>
      </c>
      <c r="C39">
        <f t="shared" si="5"/>
        <v>12</v>
      </c>
      <c r="D39">
        <f t="shared" si="6"/>
        <v>12</v>
      </c>
      <c r="E39">
        <f t="shared" si="7"/>
        <v>2021</v>
      </c>
    </row>
    <row r="40" spans="1:5">
      <c r="A40" t="str">
        <f t="shared" si="4"/>
        <v>D-39</v>
      </c>
      <c r="B40" s="6">
        <v>44542</v>
      </c>
      <c r="C40">
        <f t="shared" si="5"/>
        <v>12</v>
      </c>
      <c r="D40">
        <f t="shared" si="6"/>
        <v>12</v>
      </c>
      <c r="E40">
        <f t="shared" si="7"/>
        <v>2021</v>
      </c>
    </row>
    <row r="41" spans="1:5">
      <c r="A41" t="str">
        <f t="shared" si="4"/>
        <v>D-40</v>
      </c>
      <c r="B41" s="6">
        <v>44542</v>
      </c>
      <c r="C41">
        <f t="shared" si="5"/>
        <v>12</v>
      </c>
      <c r="D41">
        <f t="shared" si="6"/>
        <v>12</v>
      </c>
      <c r="E41">
        <f t="shared" si="7"/>
        <v>2021</v>
      </c>
    </row>
    <row r="42" spans="1:5">
      <c r="A42" t="str">
        <f t="shared" si="4"/>
        <v>D-41</v>
      </c>
      <c r="B42" s="6">
        <v>44543</v>
      </c>
      <c r="C42">
        <f t="shared" si="5"/>
        <v>13</v>
      </c>
      <c r="D42">
        <f t="shared" si="6"/>
        <v>12</v>
      </c>
      <c r="E42">
        <f t="shared" si="7"/>
        <v>2021</v>
      </c>
    </row>
    <row r="43" spans="1:5">
      <c r="A43" t="str">
        <f t="shared" si="4"/>
        <v>D-42</v>
      </c>
      <c r="B43" s="6">
        <v>44543</v>
      </c>
      <c r="C43">
        <f t="shared" si="5"/>
        <v>13</v>
      </c>
      <c r="D43">
        <f t="shared" si="6"/>
        <v>12</v>
      </c>
      <c r="E43">
        <f t="shared" si="7"/>
        <v>2021</v>
      </c>
    </row>
    <row r="44" spans="1:5">
      <c r="A44" t="str">
        <f t="shared" si="4"/>
        <v>D-43</v>
      </c>
      <c r="B44" s="6">
        <v>44543</v>
      </c>
      <c r="C44">
        <f t="shared" si="5"/>
        <v>13</v>
      </c>
      <c r="D44">
        <f t="shared" si="6"/>
        <v>12</v>
      </c>
      <c r="E44">
        <f t="shared" si="7"/>
        <v>2021</v>
      </c>
    </row>
    <row r="45" spans="1:5">
      <c r="A45" t="str">
        <f t="shared" si="4"/>
        <v>D-44</v>
      </c>
      <c r="B45" s="6">
        <v>44543</v>
      </c>
      <c r="C45">
        <f t="shared" si="5"/>
        <v>13</v>
      </c>
      <c r="D45">
        <f t="shared" si="6"/>
        <v>12</v>
      </c>
      <c r="E45">
        <f t="shared" si="7"/>
        <v>2021</v>
      </c>
    </row>
    <row r="46" spans="1:5">
      <c r="A46" t="str">
        <f t="shared" si="4"/>
        <v>D-45</v>
      </c>
      <c r="B46" s="6">
        <v>44544</v>
      </c>
      <c r="C46">
        <f t="shared" si="5"/>
        <v>14</v>
      </c>
      <c r="D46">
        <f t="shared" si="6"/>
        <v>12</v>
      </c>
      <c r="E46">
        <f t="shared" si="7"/>
        <v>2021</v>
      </c>
    </row>
    <row r="47" spans="1:5">
      <c r="A47" t="str">
        <f t="shared" si="4"/>
        <v>D-46</v>
      </c>
      <c r="B47" s="6">
        <v>44544</v>
      </c>
      <c r="C47">
        <f t="shared" si="5"/>
        <v>14</v>
      </c>
      <c r="D47">
        <f t="shared" si="6"/>
        <v>12</v>
      </c>
      <c r="E47">
        <f t="shared" si="7"/>
        <v>2021</v>
      </c>
    </row>
    <row r="48" spans="1:5">
      <c r="A48" t="str">
        <f t="shared" si="4"/>
        <v>D-47</v>
      </c>
      <c r="B48" s="6">
        <v>44544</v>
      </c>
      <c r="C48">
        <f t="shared" si="5"/>
        <v>14</v>
      </c>
      <c r="D48">
        <f t="shared" si="6"/>
        <v>12</v>
      </c>
      <c r="E48">
        <f t="shared" si="7"/>
        <v>2021</v>
      </c>
    </row>
    <row r="49" spans="1:5">
      <c r="A49" t="str">
        <f t="shared" si="4"/>
        <v>D-48</v>
      </c>
      <c r="B49" s="6">
        <v>44545</v>
      </c>
      <c r="C49">
        <f t="shared" si="5"/>
        <v>15</v>
      </c>
      <c r="D49">
        <f t="shared" si="6"/>
        <v>12</v>
      </c>
      <c r="E49">
        <f t="shared" si="7"/>
        <v>2021</v>
      </c>
    </row>
    <row r="50" spans="1:5">
      <c r="A50" t="str">
        <f t="shared" si="4"/>
        <v>D-49</v>
      </c>
      <c r="B50" s="6">
        <v>44546</v>
      </c>
      <c r="C50">
        <f t="shared" si="5"/>
        <v>16</v>
      </c>
      <c r="D50">
        <f t="shared" si="6"/>
        <v>12</v>
      </c>
      <c r="E50">
        <f t="shared" si="7"/>
        <v>2021</v>
      </c>
    </row>
    <row r="51" spans="1:5">
      <c r="A51" t="str">
        <f t="shared" si="4"/>
        <v>D-50</v>
      </c>
      <c r="B51" s="6">
        <v>44546</v>
      </c>
      <c r="C51">
        <f t="shared" si="5"/>
        <v>16</v>
      </c>
      <c r="D51">
        <f t="shared" si="6"/>
        <v>12</v>
      </c>
      <c r="E51">
        <f t="shared" si="7"/>
        <v>2021</v>
      </c>
    </row>
    <row r="52" spans="1:5">
      <c r="A52" t="str">
        <f t="shared" si="4"/>
        <v>D-51</v>
      </c>
      <c r="B52" s="6">
        <v>44546</v>
      </c>
      <c r="C52">
        <f t="shared" si="5"/>
        <v>16</v>
      </c>
      <c r="D52">
        <f t="shared" si="6"/>
        <v>12</v>
      </c>
      <c r="E52">
        <f t="shared" si="7"/>
        <v>2021</v>
      </c>
    </row>
    <row r="53" spans="1:5">
      <c r="A53" t="str">
        <f t="shared" si="4"/>
        <v>D-52</v>
      </c>
      <c r="B53" s="6">
        <v>44547</v>
      </c>
      <c r="C53">
        <f t="shared" si="5"/>
        <v>17</v>
      </c>
      <c r="D53">
        <f t="shared" si="6"/>
        <v>12</v>
      </c>
      <c r="E53">
        <f t="shared" si="7"/>
        <v>2021</v>
      </c>
    </row>
    <row r="54" spans="1:5">
      <c r="A54" t="str">
        <f t="shared" si="4"/>
        <v>D-53</v>
      </c>
      <c r="B54" s="6">
        <v>44547</v>
      </c>
      <c r="C54">
        <f t="shared" si="5"/>
        <v>17</v>
      </c>
      <c r="D54">
        <f t="shared" si="6"/>
        <v>12</v>
      </c>
      <c r="E54">
        <f t="shared" si="7"/>
        <v>2021</v>
      </c>
    </row>
    <row r="55" spans="1:5">
      <c r="A55" t="str">
        <f t="shared" si="4"/>
        <v>D-54</v>
      </c>
      <c r="B55" s="6">
        <v>44547</v>
      </c>
      <c r="C55">
        <f t="shared" si="5"/>
        <v>17</v>
      </c>
      <c r="D55">
        <f t="shared" si="6"/>
        <v>12</v>
      </c>
      <c r="E55">
        <f t="shared" si="7"/>
        <v>2021</v>
      </c>
    </row>
    <row r="56" spans="1:5">
      <c r="A56" t="str">
        <f t="shared" si="4"/>
        <v>D-55</v>
      </c>
      <c r="B56" s="6">
        <v>44548</v>
      </c>
      <c r="C56">
        <f t="shared" si="5"/>
        <v>18</v>
      </c>
      <c r="D56">
        <f t="shared" si="6"/>
        <v>12</v>
      </c>
      <c r="E56">
        <f t="shared" si="7"/>
        <v>2021</v>
      </c>
    </row>
    <row r="57" spans="1:5">
      <c r="A57" t="str">
        <f t="shared" si="4"/>
        <v>D-56</v>
      </c>
      <c r="B57" s="6">
        <v>44548</v>
      </c>
      <c r="C57">
        <f t="shared" si="5"/>
        <v>18</v>
      </c>
      <c r="D57">
        <f t="shared" si="6"/>
        <v>12</v>
      </c>
      <c r="E57">
        <f t="shared" si="7"/>
        <v>2021</v>
      </c>
    </row>
    <row r="58" spans="1:5">
      <c r="A58" t="str">
        <f t="shared" si="4"/>
        <v>D-57</v>
      </c>
      <c r="B58" s="6">
        <v>44548</v>
      </c>
      <c r="C58">
        <f t="shared" si="5"/>
        <v>18</v>
      </c>
      <c r="D58">
        <f t="shared" si="6"/>
        <v>12</v>
      </c>
      <c r="E58">
        <f t="shared" si="7"/>
        <v>2021</v>
      </c>
    </row>
    <row r="59" spans="1:5">
      <c r="A59" t="str">
        <f t="shared" si="4"/>
        <v>D-58</v>
      </c>
      <c r="B59" s="6">
        <v>44548</v>
      </c>
      <c r="C59">
        <f t="shared" si="5"/>
        <v>18</v>
      </c>
      <c r="D59">
        <f t="shared" si="6"/>
        <v>12</v>
      </c>
      <c r="E59">
        <f t="shared" si="7"/>
        <v>2021</v>
      </c>
    </row>
    <row r="60" spans="1:5">
      <c r="A60" t="str">
        <f t="shared" si="4"/>
        <v>D-59</v>
      </c>
      <c r="B60" s="6">
        <v>44548</v>
      </c>
      <c r="C60">
        <f t="shared" si="5"/>
        <v>18</v>
      </c>
      <c r="D60">
        <f t="shared" si="6"/>
        <v>12</v>
      </c>
      <c r="E60">
        <f t="shared" si="7"/>
        <v>2021</v>
      </c>
    </row>
    <row r="61" spans="1:5">
      <c r="A61" t="str">
        <f t="shared" si="4"/>
        <v>D-60</v>
      </c>
      <c r="B61" s="6">
        <v>44548</v>
      </c>
      <c r="C61">
        <f t="shared" si="5"/>
        <v>18</v>
      </c>
      <c r="D61">
        <f t="shared" si="6"/>
        <v>12</v>
      </c>
      <c r="E61">
        <f t="shared" si="7"/>
        <v>2021</v>
      </c>
    </row>
    <row r="62" spans="1:5">
      <c r="A62" t="str">
        <f t="shared" si="4"/>
        <v>D-61</v>
      </c>
      <c r="B62" s="6">
        <v>44548</v>
      </c>
      <c r="C62">
        <f t="shared" si="5"/>
        <v>18</v>
      </c>
      <c r="D62">
        <f t="shared" si="6"/>
        <v>12</v>
      </c>
      <c r="E62">
        <f t="shared" si="7"/>
        <v>2021</v>
      </c>
    </row>
    <row r="63" spans="1:5">
      <c r="A63" t="str">
        <f t="shared" si="4"/>
        <v>D-62</v>
      </c>
      <c r="B63" s="6">
        <v>44549</v>
      </c>
      <c r="C63">
        <f t="shared" si="5"/>
        <v>19</v>
      </c>
      <c r="D63">
        <f t="shared" si="6"/>
        <v>12</v>
      </c>
      <c r="E63">
        <f t="shared" si="7"/>
        <v>2021</v>
      </c>
    </row>
    <row r="64" spans="1:5">
      <c r="A64" t="str">
        <f t="shared" si="4"/>
        <v>D-63</v>
      </c>
      <c r="B64" s="6">
        <v>44549</v>
      </c>
      <c r="C64">
        <f t="shared" si="5"/>
        <v>19</v>
      </c>
      <c r="D64">
        <f t="shared" si="6"/>
        <v>12</v>
      </c>
      <c r="E64">
        <f t="shared" si="7"/>
        <v>2021</v>
      </c>
    </row>
    <row r="65" spans="1:5">
      <c r="A65" t="str">
        <f t="shared" si="4"/>
        <v>D-64</v>
      </c>
      <c r="B65" s="6">
        <v>44549</v>
      </c>
      <c r="C65">
        <f t="shared" si="5"/>
        <v>19</v>
      </c>
      <c r="D65">
        <f t="shared" si="6"/>
        <v>12</v>
      </c>
      <c r="E65">
        <f t="shared" si="7"/>
        <v>2021</v>
      </c>
    </row>
    <row r="66" spans="1:5">
      <c r="A66" t="str">
        <f t="shared" ref="A66:A89" si="8">"D-"&amp;ROW()-1</f>
        <v>D-65</v>
      </c>
      <c r="B66" s="6">
        <v>44549</v>
      </c>
      <c r="C66">
        <f t="shared" ref="C66:C89" si="9">DAY(B66)</f>
        <v>19</v>
      </c>
      <c r="D66">
        <f t="shared" ref="D66:D89" si="10">MONTH(B66)</f>
        <v>12</v>
      </c>
      <c r="E66">
        <f t="shared" ref="E66:E89" si="11">YEAR(B66)</f>
        <v>2021</v>
      </c>
    </row>
    <row r="67" spans="1:5">
      <c r="A67" t="str">
        <f t="shared" si="8"/>
        <v>D-66</v>
      </c>
      <c r="B67" s="6">
        <v>44549</v>
      </c>
      <c r="C67">
        <f t="shared" si="9"/>
        <v>19</v>
      </c>
      <c r="D67">
        <f t="shared" si="10"/>
        <v>12</v>
      </c>
      <c r="E67">
        <f t="shared" si="11"/>
        <v>2021</v>
      </c>
    </row>
    <row r="68" spans="1:5">
      <c r="A68" t="str">
        <f t="shared" si="8"/>
        <v>D-67</v>
      </c>
      <c r="B68" s="6">
        <v>44549</v>
      </c>
      <c r="C68">
        <f t="shared" si="9"/>
        <v>19</v>
      </c>
      <c r="D68">
        <f t="shared" si="10"/>
        <v>12</v>
      </c>
      <c r="E68">
        <f t="shared" si="11"/>
        <v>2021</v>
      </c>
    </row>
    <row r="69" spans="1:5">
      <c r="A69" t="str">
        <f t="shared" si="8"/>
        <v>D-68</v>
      </c>
      <c r="B69" s="6">
        <v>44549</v>
      </c>
      <c r="C69">
        <f t="shared" si="9"/>
        <v>19</v>
      </c>
      <c r="D69">
        <f t="shared" si="10"/>
        <v>12</v>
      </c>
      <c r="E69">
        <f t="shared" si="11"/>
        <v>2021</v>
      </c>
    </row>
    <row r="70" spans="1:5">
      <c r="A70" t="str">
        <f t="shared" si="8"/>
        <v>D-69</v>
      </c>
      <c r="B70" s="6">
        <v>44549</v>
      </c>
      <c r="C70">
        <f t="shared" si="9"/>
        <v>19</v>
      </c>
      <c r="D70">
        <f t="shared" si="10"/>
        <v>12</v>
      </c>
      <c r="E70">
        <f t="shared" si="11"/>
        <v>2021</v>
      </c>
    </row>
    <row r="71" spans="1:5">
      <c r="A71" t="str">
        <f t="shared" si="8"/>
        <v>D-70</v>
      </c>
      <c r="B71" s="6">
        <v>44549</v>
      </c>
      <c r="C71">
        <f t="shared" si="9"/>
        <v>19</v>
      </c>
      <c r="D71">
        <f t="shared" si="10"/>
        <v>12</v>
      </c>
      <c r="E71">
        <f t="shared" si="11"/>
        <v>2021</v>
      </c>
    </row>
    <row r="72" spans="1:5">
      <c r="A72" t="str">
        <f t="shared" si="8"/>
        <v>D-71</v>
      </c>
      <c r="B72" s="6">
        <v>44549</v>
      </c>
      <c r="C72">
        <f t="shared" si="9"/>
        <v>19</v>
      </c>
      <c r="D72">
        <f t="shared" si="10"/>
        <v>12</v>
      </c>
      <c r="E72">
        <f t="shared" si="11"/>
        <v>2021</v>
      </c>
    </row>
    <row r="73" spans="1:5">
      <c r="A73" t="str">
        <f t="shared" si="8"/>
        <v>D-72</v>
      </c>
      <c r="B73" s="6">
        <v>44550</v>
      </c>
      <c r="C73">
        <f t="shared" si="9"/>
        <v>20</v>
      </c>
      <c r="D73">
        <f t="shared" si="10"/>
        <v>12</v>
      </c>
      <c r="E73">
        <f t="shared" si="11"/>
        <v>2021</v>
      </c>
    </row>
    <row r="74" spans="1:5">
      <c r="A74" t="str">
        <f t="shared" si="8"/>
        <v>D-73</v>
      </c>
      <c r="B74" s="6">
        <v>44550</v>
      </c>
      <c r="C74">
        <f t="shared" si="9"/>
        <v>20</v>
      </c>
      <c r="D74">
        <f t="shared" si="10"/>
        <v>12</v>
      </c>
      <c r="E74">
        <f t="shared" si="11"/>
        <v>2021</v>
      </c>
    </row>
    <row r="75" spans="1:5">
      <c r="A75" t="str">
        <f t="shared" si="8"/>
        <v>D-74</v>
      </c>
      <c r="B75" s="6">
        <v>44550</v>
      </c>
      <c r="C75">
        <f t="shared" si="9"/>
        <v>20</v>
      </c>
      <c r="D75">
        <f t="shared" si="10"/>
        <v>12</v>
      </c>
      <c r="E75">
        <f t="shared" si="11"/>
        <v>2021</v>
      </c>
    </row>
    <row r="76" spans="1:5">
      <c r="A76" t="str">
        <f t="shared" si="8"/>
        <v>D-75</v>
      </c>
      <c r="B76" s="6">
        <v>44550</v>
      </c>
      <c r="C76">
        <f t="shared" si="9"/>
        <v>20</v>
      </c>
      <c r="D76">
        <f t="shared" si="10"/>
        <v>12</v>
      </c>
      <c r="E76">
        <f t="shared" si="11"/>
        <v>2021</v>
      </c>
    </row>
    <row r="77" spans="1:5">
      <c r="A77" t="str">
        <f t="shared" si="8"/>
        <v>D-76</v>
      </c>
      <c r="B77" s="6">
        <v>44550</v>
      </c>
      <c r="C77">
        <f t="shared" si="9"/>
        <v>20</v>
      </c>
      <c r="D77">
        <f t="shared" si="10"/>
        <v>12</v>
      </c>
      <c r="E77">
        <f t="shared" si="11"/>
        <v>2021</v>
      </c>
    </row>
    <row r="78" spans="1:5">
      <c r="A78" t="str">
        <f t="shared" si="8"/>
        <v>D-77</v>
      </c>
      <c r="B78" s="6">
        <v>44551</v>
      </c>
      <c r="C78">
        <f t="shared" si="9"/>
        <v>21</v>
      </c>
      <c r="D78">
        <f t="shared" si="10"/>
        <v>12</v>
      </c>
      <c r="E78">
        <f t="shared" si="11"/>
        <v>2021</v>
      </c>
    </row>
    <row r="79" spans="1:5">
      <c r="A79" t="str">
        <f t="shared" si="8"/>
        <v>D-78</v>
      </c>
      <c r="B79" s="6">
        <v>44551</v>
      </c>
      <c r="C79">
        <f t="shared" si="9"/>
        <v>21</v>
      </c>
      <c r="D79">
        <f t="shared" si="10"/>
        <v>12</v>
      </c>
      <c r="E79">
        <f t="shared" si="11"/>
        <v>2021</v>
      </c>
    </row>
    <row r="80" spans="1:5">
      <c r="A80" t="str">
        <f t="shared" si="8"/>
        <v>D-79</v>
      </c>
      <c r="B80" s="6">
        <v>44552</v>
      </c>
      <c r="C80">
        <f t="shared" si="9"/>
        <v>22</v>
      </c>
      <c r="D80">
        <f t="shared" si="10"/>
        <v>12</v>
      </c>
      <c r="E80">
        <f t="shared" si="11"/>
        <v>2021</v>
      </c>
    </row>
    <row r="81" spans="1:5">
      <c r="A81" t="str">
        <f t="shared" si="8"/>
        <v>D-80</v>
      </c>
      <c r="B81" s="6">
        <v>44552</v>
      </c>
      <c r="C81">
        <f t="shared" si="9"/>
        <v>22</v>
      </c>
      <c r="D81">
        <f t="shared" si="10"/>
        <v>12</v>
      </c>
      <c r="E81">
        <f t="shared" si="11"/>
        <v>2021</v>
      </c>
    </row>
    <row r="82" spans="1:5">
      <c r="A82" t="str">
        <f t="shared" si="8"/>
        <v>D-81</v>
      </c>
      <c r="B82" s="6">
        <v>44552</v>
      </c>
      <c r="C82">
        <f t="shared" si="9"/>
        <v>22</v>
      </c>
      <c r="D82">
        <f t="shared" si="10"/>
        <v>12</v>
      </c>
      <c r="E82">
        <f t="shared" si="11"/>
        <v>2021</v>
      </c>
    </row>
    <row r="83" spans="1:5">
      <c r="A83" t="str">
        <f t="shared" si="8"/>
        <v>D-82</v>
      </c>
      <c r="B83" s="6">
        <v>44552</v>
      </c>
      <c r="C83">
        <f t="shared" si="9"/>
        <v>22</v>
      </c>
      <c r="D83">
        <f t="shared" si="10"/>
        <v>12</v>
      </c>
      <c r="E83">
        <f t="shared" si="11"/>
        <v>2021</v>
      </c>
    </row>
    <row r="84" spans="1:5">
      <c r="A84" t="str">
        <f t="shared" si="8"/>
        <v>D-83</v>
      </c>
      <c r="B84" s="6">
        <v>44552</v>
      </c>
      <c r="C84">
        <f t="shared" si="9"/>
        <v>22</v>
      </c>
      <c r="D84">
        <f t="shared" si="10"/>
        <v>12</v>
      </c>
      <c r="E84">
        <f t="shared" si="11"/>
        <v>2021</v>
      </c>
    </row>
    <row r="85" spans="1:5">
      <c r="A85" t="str">
        <f t="shared" si="8"/>
        <v>D-84</v>
      </c>
      <c r="B85" s="6">
        <v>44552</v>
      </c>
      <c r="C85">
        <f t="shared" si="9"/>
        <v>22</v>
      </c>
      <c r="D85">
        <f t="shared" si="10"/>
        <v>12</v>
      </c>
      <c r="E85">
        <f t="shared" si="11"/>
        <v>2021</v>
      </c>
    </row>
    <row r="86" spans="1:5">
      <c r="A86" t="str">
        <f t="shared" si="8"/>
        <v>D-85</v>
      </c>
      <c r="B86" s="6">
        <v>44553</v>
      </c>
      <c r="C86">
        <f t="shared" si="9"/>
        <v>23</v>
      </c>
      <c r="D86">
        <f t="shared" si="10"/>
        <v>12</v>
      </c>
      <c r="E86">
        <f t="shared" si="11"/>
        <v>2021</v>
      </c>
    </row>
    <row r="87" spans="1:5">
      <c r="A87" t="str">
        <f t="shared" si="8"/>
        <v>D-86</v>
      </c>
      <c r="B87" s="6">
        <v>44553</v>
      </c>
      <c r="C87">
        <f t="shared" si="9"/>
        <v>23</v>
      </c>
      <c r="D87">
        <f t="shared" si="10"/>
        <v>12</v>
      </c>
      <c r="E87">
        <f t="shared" si="11"/>
        <v>2021</v>
      </c>
    </row>
    <row r="88" spans="1:5">
      <c r="A88" t="str">
        <f t="shared" si="8"/>
        <v>D-87</v>
      </c>
      <c r="B88" s="6">
        <v>44553</v>
      </c>
      <c r="C88">
        <f t="shared" si="9"/>
        <v>23</v>
      </c>
      <c r="D88">
        <f t="shared" si="10"/>
        <v>12</v>
      </c>
      <c r="E88">
        <f t="shared" si="11"/>
        <v>2021</v>
      </c>
    </row>
    <row r="89" spans="1:5">
      <c r="A89" t="str">
        <f t="shared" si="8"/>
        <v>D-88</v>
      </c>
      <c r="B89" s="6">
        <v>44554</v>
      </c>
      <c r="C89">
        <f t="shared" si="9"/>
        <v>24</v>
      </c>
      <c r="D89">
        <f t="shared" si="10"/>
        <v>12</v>
      </c>
      <c r="E89">
        <f t="shared" si="11"/>
        <v>2021</v>
      </c>
    </row>
  </sheetData>
  <conditionalFormatting sqref="B1:B88">
    <cfRule type="containsText" dxfId="6" priority="1" operator="containsText" text="blanks">
      <formula>NOT(ISERROR(SEARCH("blanks",B1)))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9159-F8F5-4C91-B782-2F773BBADC29}">
  <dimension ref="A1:U90"/>
  <sheetViews>
    <sheetView workbookViewId="0">
      <selection activeCell="I9" sqref="I9"/>
    </sheetView>
  </sheetViews>
  <sheetFormatPr defaultColWidth="9" defaultRowHeight="14.4"/>
  <cols>
    <col min="1" max="1" width="13.33203125" customWidth="1"/>
    <col min="2" max="2" width="10.6640625" customWidth="1"/>
    <col min="4" max="4" width="10.109375" customWidth="1"/>
    <col min="7" max="7" width="19.6640625" customWidth="1"/>
    <col min="8" max="8" width="20.88671875" customWidth="1"/>
    <col min="9" max="9" width="15.44140625" customWidth="1"/>
    <col min="10" max="10" width="19.88671875" customWidth="1"/>
    <col min="11" max="11" width="22.5546875" customWidth="1"/>
    <col min="12" max="12" width="14.88671875" customWidth="1"/>
    <col min="13" max="15" width="25" style="3" customWidth="1"/>
    <col min="16" max="16" width="14.88671875" customWidth="1"/>
    <col min="17" max="17" width="10.44140625" customWidth="1"/>
    <col min="18" max="18" width="11" customWidth="1"/>
    <col min="19" max="20" width="9.88671875" customWidth="1"/>
    <col min="21" max="21" width="10.886718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6" t="s">
        <v>7</v>
      </c>
      <c r="I1" s="1" t="s">
        <v>8</v>
      </c>
      <c r="J1" s="1" t="s">
        <v>9</v>
      </c>
      <c r="K1" s="16" t="s">
        <v>171</v>
      </c>
      <c r="L1" s="16" t="s">
        <v>172</v>
      </c>
      <c r="M1" s="19" t="s">
        <v>168</v>
      </c>
      <c r="N1" s="19" t="s">
        <v>167</v>
      </c>
      <c r="O1" s="20" t="s">
        <v>160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5" t="s">
        <v>19</v>
      </c>
      <c r="B2" s="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s="22" t="s">
        <v>23</v>
      </c>
      <c r="J2" t="s">
        <v>24</v>
      </c>
      <c r="K2" t="s">
        <v>25</v>
      </c>
      <c r="L2" t="s">
        <v>26</v>
      </c>
      <c r="M2" s="15" t="s">
        <v>161</v>
      </c>
      <c r="N2" s="15" t="s">
        <v>162</v>
      </c>
      <c r="O2" s="15">
        <v>46</v>
      </c>
      <c r="P2">
        <v>4</v>
      </c>
      <c r="Q2" s="12">
        <v>1252</v>
      </c>
      <c r="R2" s="12">
        <v>2295</v>
      </c>
      <c r="S2" s="12">
        <v>4172</v>
      </c>
      <c r="T2" s="12">
        <f t="shared" ref="T2:T33" si="0">P2*Q2</f>
        <v>5008</v>
      </c>
      <c r="U2" s="12">
        <f t="shared" ref="U2:U33" si="1">P2*R2</f>
        <v>9180</v>
      </c>
    </row>
    <row r="3" spans="1:21">
      <c r="A3" s="21" t="s">
        <v>159</v>
      </c>
      <c r="B3" s="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15" t="s">
        <v>161</v>
      </c>
      <c r="N3" s="15" t="s">
        <v>163</v>
      </c>
      <c r="O3" s="15">
        <v>42</v>
      </c>
      <c r="P3">
        <v>1</v>
      </c>
      <c r="Q3" s="12">
        <v>1266</v>
      </c>
      <c r="R3" s="12">
        <v>2320</v>
      </c>
      <c r="S3" s="12">
        <v>1054</v>
      </c>
      <c r="T3" s="12">
        <f t="shared" si="0"/>
        <v>1266</v>
      </c>
      <c r="U3" s="12">
        <f t="shared" si="1"/>
        <v>2320</v>
      </c>
    </row>
    <row r="4" spans="1:21">
      <c r="A4" s="5" t="s">
        <v>32</v>
      </c>
      <c r="B4" s="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15" t="s">
        <v>164</v>
      </c>
      <c r="N4" s="15" t="s">
        <v>163</v>
      </c>
      <c r="O4" s="15">
        <v>46</v>
      </c>
      <c r="P4">
        <v>2</v>
      </c>
      <c r="Q4" s="12">
        <v>420</v>
      </c>
      <c r="R4" s="12">
        <v>769</v>
      </c>
      <c r="S4" s="12">
        <v>698</v>
      </c>
      <c r="T4" s="12">
        <f t="shared" si="0"/>
        <v>840</v>
      </c>
      <c r="U4" s="12">
        <f t="shared" si="1"/>
        <v>1538</v>
      </c>
    </row>
    <row r="5" spans="1:21">
      <c r="A5" s="5" t="s">
        <v>35</v>
      </c>
      <c r="B5" s="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15" t="s">
        <v>164</v>
      </c>
      <c r="N5" s="15" t="s">
        <v>163</v>
      </c>
      <c r="O5" s="15">
        <v>42</v>
      </c>
      <c r="P5">
        <v>1</v>
      </c>
      <c r="Q5" s="12">
        <v>420</v>
      </c>
      <c r="R5" s="12">
        <v>769</v>
      </c>
      <c r="S5" s="12">
        <v>349</v>
      </c>
      <c r="T5" s="12">
        <f t="shared" si="0"/>
        <v>420</v>
      </c>
      <c r="U5" s="12">
        <f t="shared" si="1"/>
        <v>769</v>
      </c>
    </row>
    <row r="6" spans="1:21">
      <c r="A6" s="5" t="s">
        <v>40</v>
      </c>
      <c r="B6" s="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15" t="s">
        <v>161</v>
      </c>
      <c r="N6" s="15" t="s">
        <v>162</v>
      </c>
      <c r="O6" s="15">
        <v>46</v>
      </c>
      <c r="P6">
        <v>2</v>
      </c>
      <c r="Q6" s="12">
        <v>1252</v>
      </c>
      <c r="R6" s="12">
        <v>2295</v>
      </c>
      <c r="S6" s="12">
        <v>2086</v>
      </c>
      <c r="T6" s="12">
        <f t="shared" si="0"/>
        <v>2504</v>
      </c>
      <c r="U6" s="12">
        <f t="shared" si="1"/>
        <v>4590</v>
      </c>
    </row>
    <row r="7" spans="1:21">
      <c r="A7" s="5" t="s">
        <v>42</v>
      </c>
      <c r="B7" s="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15" t="s">
        <v>161</v>
      </c>
      <c r="N7" s="15" t="s">
        <v>162</v>
      </c>
      <c r="O7" s="15">
        <v>38</v>
      </c>
      <c r="P7">
        <v>1</v>
      </c>
      <c r="Q7" s="12">
        <v>1252</v>
      </c>
      <c r="R7" s="12">
        <v>2295</v>
      </c>
      <c r="S7" s="12">
        <v>1043</v>
      </c>
      <c r="T7" s="12">
        <f t="shared" si="0"/>
        <v>1252</v>
      </c>
      <c r="U7" s="12">
        <f t="shared" si="1"/>
        <v>2295</v>
      </c>
    </row>
    <row r="8" spans="1:21">
      <c r="A8" s="5" t="s">
        <v>45</v>
      </c>
      <c r="B8" s="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15" t="s">
        <v>161</v>
      </c>
      <c r="N8" s="15" t="s">
        <v>162</v>
      </c>
      <c r="O8" s="15">
        <v>46</v>
      </c>
      <c r="P8">
        <v>1</v>
      </c>
      <c r="Q8" s="12">
        <v>1252</v>
      </c>
      <c r="R8" s="12">
        <v>2295</v>
      </c>
      <c r="S8" s="12">
        <v>1043</v>
      </c>
      <c r="T8" s="12">
        <f t="shared" si="0"/>
        <v>1252</v>
      </c>
      <c r="U8" s="12">
        <f t="shared" si="1"/>
        <v>2295</v>
      </c>
    </row>
    <row r="9" spans="1:21" s="2" customFormat="1">
      <c r="A9" s="5" t="s">
        <v>48</v>
      </c>
      <c r="B9" s="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15" t="s">
        <v>164</v>
      </c>
      <c r="N9" s="15" t="s">
        <v>163</v>
      </c>
      <c r="O9" s="15">
        <v>42</v>
      </c>
      <c r="P9">
        <v>4</v>
      </c>
      <c r="Q9" s="12">
        <v>420</v>
      </c>
      <c r="R9" s="12">
        <v>769</v>
      </c>
      <c r="S9" s="12">
        <v>1396</v>
      </c>
      <c r="T9" s="12">
        <f t="shared" si="0"/>
        <v>1680</v>
      </c>
      <c r="U9" s="12">
        <f t="shared" si="1"/>
        <v>3076</v>
      </c>
    </row>
    <row r="10" spans="1:21">
      <c r="A10" s="5" t="s">
        <v>49</v>
      </c>
      <c r="B10" s="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15" t="s">
        <v>161</v>
      </c>
      <c r="N10" s="15" t="s">
        <v>162</v>
      </c>
      <c r="O10" s="15">
        <v>46</v>
      </c>
      <c r="P10">
        <v>4</v>
      </c>
      <c r="Q10" s="12">
        <v>1252</v>
      </c>
      <c r="R10" s="12">
        <v>2295</v>
      </c>
      <c r="S10" s="12">
        <v>4172</v>
      </c>
      <c r="T10" s="12">
        <f t="shared" si="0"/>
        <v>5008</v>
      </c>
      <c r="U10" s="12">
        <f t="shared" si="1"/>
        <v>9180</v>
      </c>
    </row>
    <row r="11" spans="1:21">
      <c r="A11" s="5" t="s">
        <v>50</v>
      </c>
      <c r="B11" s="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15" t="s">
        <v>161</v>
      </c>
      <c r="N11" s="15" t="s">
        <v>162</v>
      </c>
      <c r="O11" s="15">
        <v>38</v>
      </c>
      <c r="P11">
        <v>4</v>
      </c>
      <c r="Q11" s="12">
        <v>1252</v>
      </c>
      <c r="R11" s="12">
        <v>2295</v>
      </c>
      <c r="S11" s="12">
        <v>4172</v>
      </c>
      <c r="T11" s="12">
        <f t="shared" si="0"/>
        <v>5008</v>
      </c>
      <c r="U11" s="12">
        <f t="shared" si="1"/>
        <v>9180</v>
      </c>
    </row>
    <row r="12" spans="1:21">
      <c r="A12" s="5" t="s">
        <v>53</v>
      </c>
      <c r="B12" s="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15" t="s">
        <v>161</v>
      </c>
      <c r="N12" s="15" t="s">
        <v>163</v>
      </c>
      <c r="O12" s="15">
        <v>38</v>
      </c>
      <c r="P12">
        <v>1</v>
      </c>
      <c r="Q12" s="12">
        <v>1266</v>
      </c>
      <c r="R12" s="12">
        <v>2320</v>
      </c>
      <c r="S12" s="12">
        <v>1054</v>
      </c>
      <c r="T12" s="12">
        <f t="shared" si="0"/>
        <v>1266</v>
      </c>
      <c r="U12" s="12">
        <f t="shared" si="1"/>
        <v>2320</v>
      </c>
    </row>
    <row r="13" spans="1:21">
      <c r="A13" s="5" t="s">
        <v>56</v>
      </c>
      <c r="B13" s="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15" t="s">
        <v>161</v>
      </c>
      <c r="N13" s="15" t="s">
        <v>162</v>
      </c>
      <c r="O13" s="15">
        <v>46</v>
      </c>
      <c r="P13">
        <v>1</v>
      </c>
      <c r="Q13" s="12">
        <v>1252</v>
      </c>
      <c r="R13" s="12">
        <v>2295</v>
      </c>
      <c r="S13" s="12">
        <v>1043</v>
      </c>
      <c r="T13" s="12">
        <f t="shared" si="0"/>
        <v>1252</v>
      </c>
      <c r="U13" s="12">
        <f t="shared" si="1"/>
        <v>2295</v>
      </c>
    </row>
    <row r="14" spans="1:21">
      <c r="A14" s="5" t="s">
        <v>57</v>
      </c>
      <c r="B14" s="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15" t="s">
        <v>164</v>
      </c>
      <c r="N14" s="15" t="s">
        <v>163</v>
      </c>
      <c r="O14" s="15">
        <v>46</v>
      </c>
      <c r="P14">
        <v>3</v>
      </c>
      <c r="Q14" s="12">
        <v>420</v>
      </c>
      <c r="R14" s="12">
        <v>769</v>
      </c>
      <c r="S14" s="12">
        <v>1047</v>
      </c>
      <c r="T14" s="12">
        <f t="shared" si="0"/>
        <v>1260</v>
      </c>
      <c r="U14" s="12">
        <f t="shared" si="1"/>
        <v>2307</v>
      </c>
    </row>
    <row r="15" spans="1:21">
      <c r="A15" s="5" t="s">
        <v>58</v>
      </c>
      <c r="B15" s="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15" t="s">
        <v>161</v>
      </c>
      <c r="N15" s="15" t="s">
        <v>162</v>
      </c>
      <c r="O15" s="15">
        <v>46</v>
      </c>
      <c r="P15">
        <v>1</v>
      </c>
      <c r="Q15" s="12">
        <v>1252</v>
      </c>
      <c r="R15" s="12">
        <v>2295</v>
      </c>
      <c r="S15" s="12">
        <v>1043</v>
      </c>
      <c r="T15" s="12">
        <f t="shared" si="0"/>
        <v>1252</v>
      </c>
      <c r="U15" s="12">
        <f t="shared" si="1"/>
        <v>2295</v>
      </c>
    </row>
    <row r="16" spans="1:21">
      <c r="A16" s="5" t="s">
        <v>61</v>
      </c>
      <c r="B16" s="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15" t="s">
        <v>161</v>
      </c>
      <c r="N16" s="15" t="s">
        <v>162</v>
      </c>
      <c r="O16" s="15">
        <v>42</v>
      </c>
      <c r="P16">
        <v>1</v>
      </c>
      <c r="Q16" s="12">
        <v>1252</v>
      </c>
      <c r="R16" s="12">
        <v>2295</v>
      </c>
      <c r="S16" s="12">
        <v>1043</v>
      </c>
      <c r="T16" s="12">
        <f t="shared" si="0"/>
        <v>1252</v>
      </c>
      <c r="U16" s="12">
        <f t="shared" si="1"/>
        <v>2295</v>
      </c>
    </row>
    <row r="17" spans="1:21">
      <c r="A17" s="5" t="s">
        <v>63</v>
      </c>
      <c r="B17" s="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15" t="s">
        <v>161</v>
      </c>
      <c r="N17" s="15" t="s">
        <v>163</v>
      </c>
      <c r="O17" s="15">
        <v>38</v>
      </c>
      <c r="P17">
        <v>1</v>
      </c>
      <c r="Q17" s="12">
        <v>1266</v>
      </c>
      <c r="R17" s="12">
        <v>2320</v>
      </c>
      <c r="S17" s="12">
        <v>1054</v>
      </c>
      <c r="T17" s="12">
        <f t="shared" si="0"/>
        <v>1266</v>
      </c>
      <c r="U17" s="12">
        <f t="shared" si="1"/>
        <v>2320</v>
      </c>
    </row>
    <row r="18" spans="1:21">
      <c r="A18" s="5" t="s">
        <v>64</v>
      </c>
      <c r="B18" s="6">
        <v>44537</v>
      </c>
      <c r="C18">
        <v>7</v>
      </c>
      <c r="D18" s="22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15" t="s">
        <v>164</v>
      </c>
      <c r="N18" s="15" t="s">
        <v>163</v>
      </c>
      <c r="O18" s="15">
        <v>38</v>
      </c>
      <c r="P18">
        <v>4</v>
      </c>
      <c r="Q18" s="12">
        <v>420</v>
      </c>
      <c r="R18" s="12">
        <v>769</v>
      </c>
      <c r="S18" s="12">
        <v>1396</v>
      </c>
      <c r="T18" s="12">
        <f t="shared" si="0"/>
        <v>1680</v>
      </c>
      <c r="U18" s="12">
        <f t="shared" si="1"/>
        <v>3076</v>
      </c>
    </row>
    <row r="19" spans="1:21">
      <c r="A19" s="5" t="s">
        <v>67</v>
      </c>
      <c r="B19" s="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15" t="s">
        <v>161</v>
      </c>
      <c r="N19" s="15" t="s">
        <v>163</v>
      </c>
      <c r="O19" s="15">
        <v>42</v>
      </c>
      <c r="P19">
        <v>2</v>
      </c>
      <c r="Q19" s="12">
        <v>1266</v>
      </c>
      <c r="R19" s="12">
        <v>2320</v>
      </c>
      <c r="S19" s="12">
        <v>2108</v>
      </c>
      <c r="T19" s="12">
        <f t="shared" si="0"/>
        <v>2532</v>
      </c>
      <c r="U19" s="12">
        <f t="shared" si="1"/>
        <v>4640</v>
      </c>
    </row>
    <row r="20" spans="1:21">
      <c r="A20" s="5" t="s">
        <v>68</v>
      </c>
      <c r="B20" s="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15" t="s">
        <v>165</v>
      </c>
      <c r="N20" s="15" t="s">
        <v>163</v>
      </c>
      <c r="O20" s="15">
        <v>42</v>
      </c>
      <c r="P20">
        <v>4</v>
      </c>
      <c r="Q20" s="12">
        <v>308</v>
      </c>
      <c r="R20" s="12">
        <v>565</v>
      </c>
      <c r="S20" s="12">
        <v>1028</v>
      </c>
      <c r="T20" s="12">
        <f t="shared" si="0"/>
        <v>1232</v>
      </c>
      <c r="U20" s="12">
        <f t="shared" si="1"/>
        <v>2260</v>
      </c>
    </row>
    <row r="21" spans="1:21">
      <c r="A21" s="5" t="s">
        <v>70</v>
      </c>
      <c r="B21" s="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15" t="s">
        <v>161</v>
      </c>
      <c r="N21" s="15" t="s">
        <v>163</v>
      </c>
      <c r="O21" s="15">
        <v>38</v>
      </c>
      <c r="P21">
        <v>4</v>
      </c>
      <c r="Q21" s="12">
        <v>1266</v>
      </c>
      <c r="R21" s="12">
        <v>2320</v>
      </c>
      <c r="S21" s="12">
        <v>4216</v>
      </c>
      <c r="T21" s="12">
        <f t="shared" si="0"/>
        <v>5064</v>
      </c>
      <c r="U21" s="12">
        <f t="shared" si="1"/>
        <v>9280</v>
      </c>
    </row>
    <row r="22" spans="1:21">
      <c r="A22" s="5" t="s">
        <v>71</v>
      </c>
      <c r="B22" s="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15" t="s">
        <v>161</v>
      </c>
      <c r="N22" s="15" t="s">
        <v>162</v>
      </c>
      <c r="O22" s="15">
        <v>42</v>
      </c>
      <c r="P22">
        <v>2</v>
      </c>
      <c r="Q22" s="12">
        <v>1252</v>
      </c>
      <c r="R22" s="12">
        <v>2295</v>
      </c>
      <c r="S22" s="12">
        <v>2086</v>
      </c>
      <c r="T22" s="12">
        <f t="shared" si="0"/>
        <v>2504</v>
      </c>
      <c r="U22" s="12">
        <f t="shared" si="1"/>
        <v>4590</v>
      </c>
    </row>
    <row r="23" spans="1:21">
      <c r="A23" s="5" t="s">
        <v>73</v>
      </c>
      <c r="B23" s="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15" t="s">
        <v>165</v>
      </c>
      <c r="N23" s="15" t="s">
        <v>162</v>
      </c>
      <c r="O23" s="15">
        <v>42</v>
      </c>
      <c r="P23">
        <v>4</v>
      </c>
      <c r="Q23" s="12">
        <v>295</v>
      </c>
      <c r="R23" s="12">
        <v>540</v>
      </c>
      <c r="S23" s="12">
        <v>245</v>
      </c>
      <c r="T23" s="12">
        <f t="shared" si="0"/>
        <v>1180</v>
      </c>
      <c r="U23" s="12">
        <f t="shared" si="1"/>
        <v>2160</v>
      </c>
    </row>
    <row r="24" spans="1:21">
      <c r="A24" s="5" t="s">
        <v>75</v>
      </c>
      <c r="B24" s="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15" t="s">
        <v>166</v>
      </c>
      <c r="N24" s="15" t="s">
        <v>162</v>
      </c>
      <c r="O24" s="15">
        <v>38</v>
      </c>
      <c r="P24">
        <v>2</v>
      </c>
      <c r="Q24" s="12">
        <v>1898</v>
      </c>
      <c r="R24" s="12">
        <v>3375</v>
      </c>
      <c r="S24" s="12">
        <v>2954</v>
      </c>
      <c r="T24" s="12">
        <f t="shared" si="0"/>
        <v>3796</v>
      </c>
      <c r="U24" s="12">
        <f t="shared" si="1"/>
        <v>6750</v>
      </c>
    </row>
    <row r="25" spans="1:21">
      <c r="A25" s="5" t="s">
        <v>78</v>
      </c>
      <c r="B25" s="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15" t="s">
        <v>161</v>
      </c>
      <c r="N25" s="15" t="s">
        <v>163</v>
      </c>
      <c r="O25" s="15">
        <v>42</v>
      </c>
      <c r="P25">
        <v>1</v>
      </c>
      <c r="Q25" s="12">
        <v>1266</v>
      </c>
      <c r="R25" s="12">
        <v>2320</v>
      </c>
      <c r="S25" s="12">
        <v>1054</v>
      </c>
      <c r="T25" s="12">
        <f t="shared" si="0"/>
        <v>1266</v>
      </c>
      <c r="U25" s="12">
        <f t="shared" si="1"/>
        <v>2320</v>
      </c>
    </row>
    <row r="26" spans="1:21">
      <c r="A26" s="5" t="s">
        <v>80</v>
      </c>
      <c r="B26" s="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15" t="s">
        <v>161</v>
      </c>
      <c r="N26" s="15" t="s">
        <v>162</v>
      </c>
      <c r="O26" s="15">
        <v>42</v>
      </c>
      <c r="P26">
        <v>2</v>
      </c>
      <c r="Q26" s="12">
        <v>1252</v>
      </c>
      <c r="R26" s="12">
        <v>2295</v>
      </c>
      <c r="S26" s="12">
        <v>2086</v>
      </c>
      <c r="T26" s="12">
        <f t="shared" si="0"/>
        <v>2504</v>
      </c>
      <c r="U26" s="12">
        <f t="shared" si="1"/>
        <v>4590</v>
      </c>
    </row>
    <row r="27" spans="1:21">
      <c r="A27" s="5" t="s">
        <v>81</v>
      </c>
      <c r="B27" s="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15" t="s">
        <v>161</v>
      </c>
      <c r="N27" s="15" t="s">
        <v>162</v>
      </c>
      <c r="O27" s="15">
        <v>42</v>
      </c>
      <c r="P27">
        <v>2</v>
      </c>
      <c r="Q27" s="12">
        <v>1252</v>
      </c>
      <c r="R27" s="12">
        <v>2295</v>
      </c>
      <c r="S27" s="12">
        <v>2086</v>
      </c>
      <c r="T27" s="12">
        <f t="shared" si="0"/>
        <v>2504</v>
      </c>
      <c r="U27" s="12">
        <f t="shared" si="1"/>
        <v>4590</v>
      </c>
    </row>
    <row r="28" spans="1:21">
      <c r="A28" s="5" t="s">
        <v>82</v>
      </c>
      <c r="B28" s="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15" t="s">
        <v>161</v>
      </c>
      <c r="N28" s="15" t="s">
        <v>162</v>
      </c>
      <c r="O28" s="15">
        <v>38</v>
      </c>
      <c r="P28">
        <v>1</v>
      </c>
      <c r="Q28" s="12">
        <v>1252</v>
      </c>
      <c r="R28" s="12">
        <v>2295</v>
      </c>
      <c r="S28" s="12">
        <v>1043</v>
      </c>
      <c r="T28" s="12">
        <f t="shared" si="0"/>
        <v>1252</v>
      </c>
      <c r="U28" s="12">
        <f t="shared" si="1"/>
        <v>2295</v>
      </c>
    </row>
    <row r="29" spans="1:21">
      <c r="A29" s="5" t="s">
        <v>83</v>
      </c>
      <c r="B29" s="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15" t="s">
        <v>165</v>
      </c>
      <c r="N29" s="15" t="s">
        <v>162</v>
      </c>
      <c r="O29" s="15">
        <v>40</v>
      </c>
      <c r="P29">
        <v>1</v>
      </c>
      <c r="Q29" s="12">
        <v>295</v>
      </c>
      <c r="R29" s="12">
        <v>540</v>
      </c>
      <c r="S29" s="12">
        <v>245</v>
      </c>
      <c r="T29" s="12">
        <f t="shared" si="0"/>
        <v>295</v>
      </c>
      <c r="U29" s="12">
        <f t="shared" si="1"/>
        <v>540</v>
      </c>
    </row>
    <row r="30" spans="1:21">
      <c r="A30" s="5" t="s">
        <v>85</v>
      </c>
      <c r="B30" s="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15" t="s">
        <v>166</v>
      </c>
      <c r="N30" s="15" t="s">
        <v>163</v>
      </c>
      <c r="O30" s="15">
        <v>44</v>
      </c>
      <c r="P30">
        <v>1</v>
      </c>
      <c r="Q30" s="12">
        <v>1912</v>
      </c>
      <c r="R30" s="12">
        <v>3400</v>
      </c>
      <c r="S30" s="12">
        <v>1488</v>
      </c>
      <c r="T30" s="12">
        <f t="shared" si="0"/>
        <v>1912</v>
      </c>
      <c r="U30" s="12">
        <f t="shared" si="1"/>
        <v>3400</v>
      </c>
    </row>
    <row r="31" spans="1:21">
      <c r="A31" s="5" t="s">
        <v>87</v>
      </c>
      <c r="B31" s="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15" t="s">
        <v>161</v>
      </c>
      <c r="N31" s="15" t="s">
        <v>162</v>
      </c>
      <c r="O31" s="15">
        <v>38</v>
      </c>
      <c r="P31">
        <v>1</v>
      </c>
      <c r="Q31" s="12">
        <v>1252</v>
      </c>
      <c r="R31" s="12">
        <v>2295</v>
      </c>
      <c r="S31" s="12">
        <v>1043</v>
      </c>
      <c r="T31" s="12">
        <f t="shared" si="0"/>
        <v>1252</v>
      </c>
      <c r="U31" s="12">
        <f t="shared" si="1"/>
        <v>2295</v>
      </c>
    </row>
    <row r="32" spans="1:21">
      <c r="A32" s="5" t="s">
        <v>88</v>
      </c>
      <c r="B32" s="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15" t="s">
        <v>161</v>
      </c>
      <c r="N32" s="15" t="s">
        <v>162</v>
      </c>
      <c r="O32" s="15">
        <v>38</v>
      </c>
      <c r="P32">
        <v>3</v>
      </c>
      <c r="Q32" s="12">
        <v>1252</v>
      </c>
      <c r="R32" s="12">
        <v>2295</v>
      </c>
      <c r="S32" s="12">
        <v>3129</v>
      </c>
      <c r="T32" s="12">
        <f t="shared" si="0"/>
        <v>3756</v>
      </c>
      <c r="U32" s="12">
        <f t="shared" si="1"/>
        <v>6885</v>
      </c>
    </row>
    <row r="33" spans="1:21">
      <c r="A33" s="5" t="s">
        <v>91</v>
      </c>
      <c r="B33" s="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15" t="s">
        <v>164</v>
      </c>
      <c r="N33" s="15" t="s">
        <v>163</v>
      </c>
      <c r="O33" s="15">
        <v>38</v>
      </c>
      <c r="P33">
        <v>2</v>
      </c>
      <c r="Q33" s="12">
        <v>420</v>
      </c>
      <c r="R33" s="12">
        <v>769</v>
      </c>
      <c r="S33" s="12">
        <v>698</v>
      </c>
      <c r="T33" s="12">
        <f t="shared" si="0"/>
        <v>840</v>
      </c>
      <c r="U33" s="12">
        <f t="shared" si="1"/>
        <v>1538</v>
      </c>
    </row>
    <row r="34" spans="1:21">
      <c r="A34" s="5" t="s">
        <v>92</v>
      </c>
      <c r="B34" s="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15" t="s">
        <v>161</v>
      </c>
      <c r="N34" s="15" t="s">
        <v>162</v>
      </c>
      <c r="O34" s="15">
        <v>46</v>
      </c>
      <c r="P34">
        <v>1</v>
      </c>
      <c r="Q34" s="12">
        <v>1252</v>
      </c>
      <c r="R34" s="12">
        <v>2295</v>
      </c>
      <c r="S34" s="12">
        <v>1043</v>
      </c>
      <c r="T34" s="12">
        <f t="shared" ref="T34:T65" si="2">P34*Q34</f>
        <v>1252</v>
      </c>
      <c r="U34" s="12">
        <f t="shared" ref="U34:U65" si="3">P34*R34</f>
        <v>2295</v>
      </c>
    </row>
    <row r="35" spans="1:21">
      <c r="A35" s="5" t="s">
        <v>93</v>
      </c>
      <c r="B35" s="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15" t="s">
        <v>164</v>
      </c>
      <c r="N35" s="15" t="s">
        <v>163</v>
      </c>
      <c r="O35" s="15">
        <v>46</v>
      </c>
      <c r="P35">
        <v>1</v>
      </c>
      <c r="Q35" s="12">
        <v>420</v>
      </c>
      <c r="R35" s="12">
        <v>769</v>
      </c>
      <c r="S35" s="12">
        <v>349</v>
      </c>
      <c r="T35" s="12">
        <f t="shared" si="2"/>
        <v>420</v>
      </c>
      <c r="U35" s="12">
        <f t="shared" si="3"/>
        <v>769</v>
      </c>
    </row>
    <row r="36" spans="1:21">
      <c r="A36" s="5" t="s">
        <v>94</v>
      </c>
      <c r="B36" s="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15" t="s">
        <v>161</v>
      </c>
      <c r="N36" s="15" t="s">
        <v>163</v>
      </c>
      <c r="O36" s="15">
        <v>38</v>
      </c>
      <c r="P36">
        <v>1</v>
      </c>
      <c r="Q36" s="12">
        <v>1266</v>
      </c>
      <c r="R36" s="12">
        <v>2320</v>
      </c>
      <c r="S36" s="12">
        <v>1054</v>
      </c>
      <c r="T36" s="12">
        <f t="shared" si="2"/>
        <v>1266</v>
      </c>
      <c r="U36" s="12">
        <f t="shared" si="3"/>
        <v>2320</v>
      </c>
    </row>
    <row r="37" spans="1:21">
      <c r="A37" s="5" t="s">
        <v>95</v>
      </c>
      <c r="B37" s="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15" t="s">
        <v>161</v>
      </c>
      <c r="N37" s="15" t="s">
        <v>163</v>
      </c>
      <c r="O37" s="15">
        <v>42</v>
      </c>
      <c r="P37">
        <v>4</v>
      </c>
      <c r="Q37" s="12">
        <v>1266</v>
      </c>
      <c r="R37" s="12">
        <v>2320</v>
      </c>
      <c r="S37" s="12">
        <v>4216</v>
      </c>
      <c r="T37" s="12">
        <f t="shared" si="2"/>
        <v>5064</v>
      </c>
      <c r="U37" s="12">
        <f t="shared" si="3"/>
        <v>9280</v>
      </c>
    </row>
    <row r="38" spans="1:21">
      <c r="A38" s="5" t="s">
        <v>96</v>
      </c>
      <c r="B38" s="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15" t="s">
        <v>164</v>
      </c>
      <c r="N38" s="15" t="s">
        <v>163</v>
      </c>
      <c r="O38" s="15">
        <v>46</v>
      </c>
      <c r="P38">
        <v>4</v>
      </c>
      <c r="Q38" s="12">
        <v>420</v>
      </c>
      <c r="R38" s="12">
        <v>769</v>
      </c>
      <c r="S38" s="12">
        <v>1396</v>
      </c>
      <c r="T38" s="12">
        <f t="shared" si="2"/>
        <v>1680</v>
      </c>
      <c r="U38" s="12">
        <f t="shared" si="3"/>
        <v>3076</v>
      </c>
    </row>
    <row r="39" spans="1:21">
      <c r="A39" s="5" t="s">
        <v>97</v>
      </c>
      <c r="B39" s="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15" t="s">
        <v>161</v>
      </c>
      <c r="N39" s="15" t="s">
        <v>162</v>
      </c>
      <c r="O39" s="15">
        <v>38</v>
      </c>
      <c r="P39">
        <v>2</v>
      </c>
      <c r="Q39" s="12">
        <v>1252</v>
      </c>
      <c r="R39" s="12">
        <v>2295</v>
      </c>
      <c r="S39" s="12">
        <v>2086</v>
      </c>
      <c r="T39" s="12">
        <f t="shared" si="2"/>
        <v>2504</v>
      </c>
      <c r="U39" s="12">
        <f t="shared" si="3"/>
        <v>4590</v>
      </c>
    </row>
    <row r="40" spans="1:21">
      <c r="A40" s="5" t="s">
        <v>98</v>
      </c>
      <c r="B40" s="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15" t="s">
        <v>161</v>
      </c>
      <c r="N40" s="15" t="s">
        <v>163</v>
      </c>
      <c r="O40" s="15">
        <v>42</v>
      </c>
      <c r="P40">
        <v>1</v>
      </c>
      <c r="Q40" s="12">
        <v>1266</v>
      </c>
      <c r="R40" s="12">
        <v>2320</v>
      </c>
      <c r="S40" s="12">
        <v>1054</v>
      </c>
      <c r="T40" s="12">
        <f t="shared" si="2"/>
        <v>1266</v>
      </c>
      <c r="U40" s="12">
        <f t="shared" si="3"/>
        <v>2320</v>
      </c>
    </row>
    <row r="41" spans="1:21">
      <c r="A41" s="5" t="s">
        <v>99</v>
      </c>
      <c r="B41" s="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15" t="s">
        <v>161</v>
      </c>
      <c r="N41" s="15" t="s">
        <v>163</v>
      </c>
      <c r="O41" s="15">
        <v>42</v>
      </c>
      <c r="P41">
        <v>1</v>
      </c>
      <c r="Q41" s="12">
        <v>1266</v>
      </c>
      <c r="R41" s="12">
        <v>2320</v>
      </c>
      <c r="S41" s="12">
        <v>1054</v>
      </c>
      <c r="T41" s="12">
        <f t="shared" si="2"/>
        <v>1266</v>
      </c>
      <c r="U41" s="12">
        <f t="shared" si="3"/>
        <v>2320</v>
      </c>
    </row>
    <row r="42" spans="1:21">
      <c r="A42" s="5" t="s">
        <v>100</v>
      </c>
      <c r="B42" s="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15" t="s">
        <v>161</v>
      </c>
      <c r="N42" s="15" t="s">
        <v>163</v>
      </c>
      <c r="O42" s="15">
        <v>42</v>
      </c>
      <c r="P42">
        <v>3</v>
      </c>
      <c r="Q42" s="12">
        <v>1266</v>
      </c>
      <c r="R42" s="12">
        <v>2320</v>
      </c>
      <c r="S42" s="12">
        <v>3162</v>
      </c>
      <c r="T42" s="12">
        <f t="shared" si="2"/>
        <v>3798</v>
      </c>
      <c r="U42" s="12">
        <f t="shared" si="3"/>
        <v>6960</v>
      </c>
    </row>
    <row r="43" spans="1:21">
      <c r="A43" s="5" t="s">
        <v>101</v>
      </c>
      <c r="B43" s="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15" t="s">
        <v>165</v>
      </c>
      <c r="N43" s="15" t="s">
        <v>163</v>
      </c>
      <c r="O43" s="15">
        <v>40</v>
      </c>
      <c r="P43">
        <v>1</v>
      </c>
      <c r="Q43" s="12">
        <v>308</v>
      </c>
      <c r="R43" s="12">
        <v>565</v>
      </c>
      <c r="S43" s="12">
        <v>257</v>
      </c>
      <c r="T43" s="12">
        <f t="shared" si="2"/>
        <v>308</v>
      </c>
      <c r="U43" s="12">
        <f t="shared" si="3"/>
        <v>565</v>
      </c>
    </row>
    <row r="44" spans="1:21">
      <c r="A44" s="5" t="s">
        <v>103</v>
      </c>
      <c r="B44" s="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15" t="s">
        <v>161</v>
      </c>
      <c r="N44" s="15" t="s">
        <v>162</v>
      </c>
      <c r="O44" s="15">
        <v>38</v>
      </c>
      <c r="P44">
        <v>1</v>
      </c>
      <c r="Q44" s="12">
        <v>1252</v>
      </c>
      <c r="R44" s="12">
        <v>2295</v>
      </c>
      <c r="S44" s="12">
        <v>1043</v>
      </c>
      <c r="T44" s="12">
        <f t="shared" si="2"/>
        <v>1252</v>
      </c>
      <c r="U44" s="12">
        <f t="shared" si="3"/>
        <v>2295</v>
      </c>
    </row>
    <row r="45" spans="1:21">
      <c r="A45" s="5" t="s">
        <v>104</v>
      </c>
      <c r="B45" s="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15" t="s">
        <v>161</v>
      </c>
      <c r="N45" s="15" t="s">
        <v>162</v>
      </c>
      <c r="O45" s="15">
        <v>38</v>
      </c>
      <c r="P45">
        <v>1</v>
      </c>
      <c r="Q45" s="12">
        <v>1252</v>
      </c>
      <c r="R45" s="12">
        <v>2295</v>
      </c>
      <c r="S45" s="12">
        <v>1043</v>
      </c>
      <c r="T45" s="12">
        <f t="shared" si="2"/>
        <v>1252</v>
      </c>
      <c r="U45" s="12">
        <f t="shared" si="3"/>
        <v>2295</v>
      </c>
    </row>
    <row r="46" spans="1:21">
      <c r="A46" s="5" t="s">
        <v>105</v>
      </c>
      <c r="B46" s="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15" t="s">
        <v>161</v>
      </c>
      <c r="N46" s="15" t="s">
        <v>163</v>
      </c>
      <c r="O46" s="15">
        <v>38</v>
      </c>
      <c r="P46">
        <v>2</v>
      </c>
      <c r="Q46" s="12">
        <v>1266</v>
      </c>
      <c r="R46" s="12">
        <v>2320</v>
      </c>
      <c r="S46" s="12">
        <v>2108</v>
      </c>
      <c r="T46" s="12">
        <f t="shared" si="2"/>
        <v>2532</v>
      </c>
      <c r="U46" s="12">
        <f t="shared" si="3"/>
        <v>4640</v>
      </c>
    </row>
    <row r="47" spans="1:21">
      <c r="A47" s="5" t="s">
        <v>106</v>
      </c>
      <c r="B47" s="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15" t="s">
        <v>161</v>
      </c>
      <c r="N47" s="15" t="s">
        <v>162</v>
      </c>
      <c r="O47" s="15">
        <v>46</v>
      </c>
      <c r="P47">
        <v>1</v>
      </c>
      <c r="Q47" s="12">
        <v>1252</v>
      </c>
      <c r="R47" s="12">
        <v>2295</v>
      </c>
      <c r="S47" s="12">
        <v>1043</v>
      </c>
      <c r="T47" s="12">
        <f t="shared" si="2"/>
        <v>1252</v>
      </c>
      <c r="U47" s="12">
        <f t="shared" si="3"/>
        <v>2295</v>
      </c>
    </row>
    <row r="48" spans="1:21">
      <c r="A48" s="5" t="s">
        <v>107</v>
      </c>
      <c r="B48" s="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15" t="s">
        <v>164</v>
      </c>
      <c r="N48" s="15" t="s">
        <v>163</v>
      </c>
      <c r="O48" s="15">
        <v>46</v>
      </c>
      <c r="P48">
        <v>1</v>
      </c>
      <c r="Q48" s="12">
        <v>420</v>
      </c>
      <c r="R48" s="12">
        <v>769</v>
      </c>
      <c r="S48" s="12">
        <v>349</v>
      </c>
      <c r="T48" s="12">
        <f t="shared" si="2"/>
        <v>420</v>
      </c>
      <c r="U48" s="12">
        <f t="shared" si="3"/>
        <v>769</v>
      </c>
    </row>
    <row r="49" spans="1:21">
      <c r="A49" s="5" t="s">
        <v>108</v>
      </c>
      <c r="B49" s="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15" t="s">
        <v>161</v>
      </c>
      <c r="N49" s="15" t="s">
        <v>163</v>
      </c>
      <c r="O49" s="15">
        <v>42</v>
      </c>
      <c r="P49">
        <v>1</v>
      </c>
      <c r="Q49" s="12">
        <v>1266</v>
      </c>
      <c r="R49" s="12">
        <v>2320</v>
      </c>
      <c r="S49" s="12">
        <v>1054</v>
      </c>
      <c r="T49" s="12">
        <f t="shared" si="2"/>
        <v>1266</v>
      </c>
      <c r="U49" s="12">
        <f t="shared" si="3"/>
        <v>2320</v>
      </c>
    </row>
    <row r="50" spans="1:21">
      <c r="A50" s="5" t="s">
        <v>109</v>
      </c>
      <c r="B50" s="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15" t="s">
        <v>161</v>
      </c>
      <c r="N50" s="15" t="s">
        <v>162</v>
      </c>
      <c r="O50" s="15">
        <v>38</v>
      </c>
      <c r="P50">
        <v>2</v>
      </c>
      <c r="Q50" s="12">
        <v>1252</v>
      </c>
      <c r="R50" s="12">
        <v>2295</v>
      </c>
      <c r="S50" s="12">
        <v>2086</v>
      </c>
      <c r="T50" s="12">
        <f t="shared" si="2"/>
        <v>2504</v>
      </c>
      <c r="U50" s="12">
        <f t="shared" si="3"/>
        <v>4590</v>
      </c>
    </row>
    <row r="51" spans="1:21">
      <c r="A51" s="5" t="s">
        <v>110</v>
      </c>
      <c r="B51" s="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15" t="s">
        <v>161</v>
      </c>
      <c r="N51" s="15" t="s">
        <v>162</v>
      </c>
      <c r="O51" s="15">
        <v>38</v>
      </c>
      <c r="P51">
        <v>2</v>
      </c>
      <c r="Q51" s="12">
        <v>1252</v>
      </c>
      <c r="R51" s="12">
        <v>2295</v>
      </c>
      <c r="S51" s="12">
        <v>2086</v>
      </c>
      <c r="T51" s="12">
        <f t="shared" si="2"/>
        <v>2504</v>
      </c>
      <c r="U51" s="12">
        <f t="shared" si="3"/>
        <v>4590</v>
      </c>
    </row>
    <row r="52" spans="1:21">
      <c r="A52" s="5" t="s">
        <v>111</v>
      </c>
      <c r="B52" s="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15" t="s">
        <v>161</v>
      </c>
      <c r="N52" s="15" t="s">
        <v>163</v>
      </c>
      <c r="O52" s="15">
        <v>46</v>
      </c>
      <c r="P52">
        <v>1</v>
      </c>
      <c r="Q52" s="12">
        <v>1266</v>
      </c>
      <c r="R52" s="12">
        <v>2320</v>
      </c>
      <c r="S52" s="12">
        <v>1054</v>
      </c>
      <c r="T52" s="12">
        <f t="shared" si="2"/>
        <v>1266</v>
      </c>
      <c r="U52" s="12">
        <f t="shared" si="3"/>
        <v>2320</v>
      </c>
    </row>
    <row r="53" spans="1:21">
      <c r="A53" s="5" t="s">
        <v>114</v>
      </c>
      <c r="B53" s="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15" t="s">
        <v>161</v>
      </c>
      <c r="N53" s="15" t="s">
        <v>163</v>
      </c>
      <c r="O53" s="15">
        <v>38</v>
      </c>
      <c r="P53">
        <v>2</v>
      </c>
      <c r="Q53" s="12">
        <v>1266</v>
      </c>
      <c r="R53" s="12">
        <v>2320</v>
      </c>
      <c r="S53" s="12">
        <v>2108</v>
      </c>
      <c r="T53" s="12">
        <f t="shared" si="2"/>
        <v>2532</v>
      </c>
      <c r="U53" s="12">
        <f t="shared" si="3"/>
        <v>4640</v>
      </c>
    </row>
    <row r="54" spans="1:21">
      <c r="A54" s="5" t="s">
        <v>115</v>
      </c>
      <c r="B54" s="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15" t="s">
        <v>164</v>
      </c>
      <c r="N54" s="15" t="s">
        <v>163</v>
      </c>
      <c r="O54" s="15">
        <v>42</v>
      </c>
      <c r="P54">
        <v>1</v>
      </c>
      <c r="Q54" s="12">
        <v>420</v>
      </c>
      <c r="R54" s="12">
        <v>769</v>
      </c>
      <c r="S54" s="12">
        <v>349</v>
      </c>
      <c r="T54" s="12">
        <f t="shared" si="2"/>
        <v>420</v>
      </c>
      <c r="U54" s="12">
        <f t="shared" si="3"/>
        <v>769</v>
      </c>
    </row>
    <row r="55" spans="1:21">
      <c r="A55" s="5" t="s">
        <v>116</v>
      </c>
      <c r="B55" s="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15" t="s">
        <v>161</v>
      </c>
      <c r="N55" s="15" t="s">
        <v>163</v>
      </c>
      <c r="O55" s="15">
        <v>46</v>
      </c>
      <c r="P55">
        <v>1</v>
      </c>
      <c r="Q55" s="12">
        <v>1266</v>
      </c>
      <c r="R55" s="12">
        <v>2320</v>
      </c>
      <c r="S55" s="12">
        <v>1054</v>
      </c>
      <c r="T55" s="12">
        <f t="shared" si="2"/>
        <v>1266</v>
      </c>
      <c r="U55" s="12">
        <f t="shared" si="3"/>
        <v>2320</v>
      </c>
    </row>
    <row r="56" spans="1:21">
      <c r="A56" s="5" t="s">
        <v>117</v>
      </c>
      <c r="B56" s="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15" t="s">
        <v>165</v>
      </c>
      <c r="N56" s="15" t="s">
        <v>163</v>
      </c>
      <c r="O56" s="15">
        <v>42</v>
      </c>
      <c r="P56">
        <v>4</v>
      </c>
      <c r="Q56" s="12">
        <v>308</v>
      </c>
      <c r="R56" s="12">
        <v>565</v>
      </c>
      <c r="S56" s="12">
        <v>1028</v>
      </c>
      <c r="T56" s="12">
        <f t="shared" si="2"/>
        <v>1232</v>
      </c>
      <c r="U56" s="12">
        <f t="shared" si="3"/>
        <v>2260</v>
      </c>
    </row>
    <row r="57" spans="1:21">
      <c r="A57" s="5" t="s">
        <v>118</v>
      </c>
      <c r="B57" s="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15" t="s">
        <v>161</v>
      </c>
      <c r="N57" s="15" t="s">
        <v>163</v>
      </c>
      <c r="O57" s="15">
        <v>46</v>
      </c>
      <c r="P57">
        <v>4</v>
      </c>
      <c r="Q57" s="12">
        <v>1266</v>
      </c>
      <c r="R57" s="12">
        <v>2320</v>
      </c>
      <c r="S57" s="12">
        <v>4216</v>
      </c>
      <c r="T57" s="12">
        <f t="shared" si="2"/>
        <v>5064</v>
      </c>
      <c r="U57" s="12">
        <f t="shared" si="3"/>
        <v>9280</v>
      </c>
    </row>
    <row r="58" spans="1:21">
      <c r="A58" s="5" t="s">
        <v>119</v>
      </c>
      <c r="B58" s="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15" t="s">
        <v>161</v>
      </c>
      <c r="N58" s="15" t="s">
        <v>163</v>
      </c>
      <c r="O58" s="15">
        <v>38</v>
      </c>
      <c r="P58">
        <v>3</v>
      </c>
      <c r="Q58" s="12">
        <v>1266</v>
      </c>
      <c r="R58" s="12">
        <v>2320</v>
      </c>
      <c r="S58" s="12">
        <v>3162</v>
      </c>
      <c r="T58" s="12">
        <f t="shared" si="2"/>
        <v>3798</v>
      </c>
      <c r="U58" s="12">
        <f t="shared" si="3"/>
        <v>6960</v>
      </c>
    </row>
    <row r="59" spans="1:21">
      <c r="A59" s="5" t="s">
        <v>121</v>
      </c>
      <c r="B59" s="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15" t="s">
        <v>164</v>
      </c>
      <c r="N59" s="15" t="s">
        <v>163</v>
      </c>
      <c r="O59" s="15">
        <v>42</v>
      </c>
      <c r="P59">
        <v>3</v>
      </c>
      <c r="Q59" s="12">
        <v>420</v>
      </c>
      <c r="R59" s="12">
        <v>769</v>
      </c>
      <c r="S59" s="12">
        <v>1047</v>
      </c>
      <c r="T59" s="12">
        <f t="shared" si="2"/>
        <v>1260</v>
      </c>
      <c r="U59" s="12">
        <f t="shared" si="3"/>
        <v>2307</v>
      </c>
    </row>
    <row r="60" spans="1:21">
      <c r="A60" s="5" t="s">
        <v>122</v>
      </c>
      <c r="B60" s="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15" t="s">
        <v>161</v>
      </c>
      <c r="N60" s="15" t="s">
        <v>162</v>
      </c>
      <c r="O60" s="15">
        <v>42</v>
      </c>
      <c r="P60">
        <v>3</v>
      </c>
      <c r="Q60" s="12">
        <v>1252</v>
      </c>
      <c r="R60" s="12">
        <v>2295</v>
      </c>
      <c r="S60" s="12">
        <v>3129</v>
      </c>
      <c r="T60" s="12">
        <f t="shared" si="2"/>
        <v>3756</v>
      </c>
      <c r="U60" s="12">
        <f t="shared" si="3"/>
        <v>6885</v>
      </c>
    </row>
    <row r="61" spans="1:21">
      <c r="A61" s="5" t="s">
        <v>123</v>
      </c>
      <c r="B61" s="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15" t="s">
        <v>161</v>
      </c>
      <c r="N61" s="15" t="s">
        <v>162</v>
      </c>
      <c r="O61" s="15">
        <v>46</v>
      </c>
      <c r="P61">
        <v>1</v>
      </c>
      <c r="Q61" s="12">
        <v>1252</v>
      </c>
      <c r="R61" s="12">
        <v>2295</v>
      </c>
      <c r="S61" s="12">
        <v>1043</v>
      </c>
      <c r="T61" s="12">
        <f t="shared" si="2"/>
        <v>1252</v>
      </c>
      <c r="U61" s="12">
        <f t="shared" si="3"/>
        <v>2295</v>
      </c>
    </row>
    <row r="62" spans="1:21">
      <c r="A62" s="5" t="s">
        <v>124</v>
      </c>
      <c r="B62" s="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15" t="s">
        <v>161</v>
      </c>
      <c r="N62" s="15" t="s">
        <v>163</v>
      </c>
      <c r="O62" s="15">
        <v>38</v>
      </c>
      <c r="P62">
        <v>1</v>
      </c>
      <c r="Q62" s="12">
        <v>1266</v>
      </c>
      <c r="R62" s="12">
        <v>2320</v>
      </c>
      <c r="S62" s="12">
        <v>1054</v>
      </c>
      <c r="T62" s="12">
        <f t="shared" si="2"/>
        <v>1266</v>
      </c>
      <c r="U62" s="12">
        <f t="shared" si="3"/>
        <v>2320</v>
      </c>
    </row>
    <row r="63" spans="1:21">
      <c r="A63" s="5" t="s">
        <v>125</v>
      </c>
      <c r="B63" s="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15" t="s">
        <v>161</v>
      </c>
      <c r="N63" s="15" t="s">
        <v>163</v>
      </c>
      <c r="O63" s="15">
        <v>46</v>
      </c>
      <c r="P63">
        <v>4</v>
      </c>
      <c r="Q63" s="12">
        <v>1266</v>
      </c>
      <c r="R63" s="12">
        <v>2320</v>
      </c>
      <c r="S63" s="12">
        <v>4216</v>
      </c>
      <c r="T63" s="12">
        <f t="shared" si="2"/>
        <v>5064</v>
      </c>
      <c r="U63" s="12">
        <f t="shared" si="3"/>
        <v>9280</v>
      </c>
    </row>
    <row r="64" spans="1:21">
      <c r="A64" s="5" t="s">
        <v>127</v>
      </c>
      <c r="B64" s="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15" t="s">
        <v>165</v>
      </c>
      <c r="N64" s="15" t="s">
        <v>162</v>
      </c>
      <c r="O64" s="15">
        <v>44</v>
      </c>
      <c r="P64">
        <v>4</v>
      </c>
      <c r="Q64" s="12">
        <v>295</v>
      </c>
      <c r="R64" s="12">
        <v>540</v>
      </c>
      <c r="S64" s="12">
        <v>980</v>
      </c>
      <c r="T64" s="12">
        <f t="shared" si="2"/>
        <v>1180</v>
      </c>
      <c r="U64" s="12">
        <f t="shared" si="3"/>
        <v>2160</v>
      </c>
    </row>
    <row r="65" spans="1:21">
      <c r="A65" s="5" t="s">
        <v>129</v>
      </c>
      <c r="B65" s="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15" t="s">
        <v>161</v>
      </c>
      <c r="N65" s="15" t="s">
        <v>162</v>
      </c>
      <c r="O65" s="15">
        <v>38</v>
      </c>
      <c r="P65">
        <v>4</v>
      </c>
      <c r="Q65" s="12">
        <v>1252</v>
      </c>
      <c r="R65" s="12">
        <v>2295</v>
      </c>
      <c r="S65" s="12">
        <v>4172</v>
      </c>
      <c r="T65" s="12">
        <f t="shared" si="2"/>
        <v>5008</v>
      </c>
      <c r="U65" s="12">
        <f t="shared" si="3"/>
        <v>9180</v>
      </c>
    </row>
    <row r="66" spans="1:21">
      <c r="A66" s="5" t="s">
        <v>130</v>
      </c>
      <c r="B66" s="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15" t="s">
        <v>166</v>
      </c>
      <c r="N66" s="15" t="s">
        <v>162</v>
      </c>
      <c r="O66" s="15">
        <v>48</v>
      </c>
      <c r="P66">
        <v>4</v>
      </c>
      <c r="Q66" s="12">
        <v>1898</v>
      </c>
      <c r="R66" s="12">
        <v>3375</v>
      </c>
      <c r="S66" s="12">
        <v>5908</v>
      </c>
      <c r="T66" s="12">
        <f t="shared" ref="T66:T89" si="4">P66*Q66</f>
        <v>7592</v>
      </c>
      <c r="U66" s="12">
        <f t="shared" ref="U66:U89" si="5">P66*R66</f>
        <v>13500</v>
      </c>
    </row>
    <row r="67" spans="1:21">
      <c r="A67" s="5" t="s">
        <v>132</v>
      </c>
      <c r="B67" s="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15" t="s">
        <v>161</v>
      </c>
      <c r="N67" s="15" t="s">
        <v>162</v>
      </c>
      <c r="O67" s="15">
        <v>38</v>
      </c>
      <c r="P67">
        <v>4</v>
      </c>
      <c r="Q67" s="12">
        <v>1252</v>
      </c>
      <c r="R67" s="12">
        <v>2295</v>
      </c>
      <c r="S67" s="12">
        <v>4172</v>
      </c>
      <c r="T67" s="12">
        <f t="shared" si="4"/>
        <v>5008</v>
      </c>
      <c r="U67" s="12">
        <f t="shared" si="5"/>
        <v>9180</v>
      </c>
    </row>
    <row r="68" spans="1:21">
      <c r="A68" s="5" t="s">
        <v>133</v>
      </c>
      <c r="B68" s="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15" t="s">
        <v>161</v>
      </c>
      <c r="N68" s="15" t="s">
        <v>162</v>
      </c>
      <c r="O68" s="15">
        <v>46</v>
      </c>
      <c r="P68">
        <v>4</v>
      </c>
      <c r="Q68" s="12">
        <v>1252</v>
      </c>
      <c r="R68" s="12">
        <v>2295</v>
      </c>
      <c r="S68" s="12">
        <v>4172</v>
      </c>
      <c r="T68" s="12">
        <f t="shared" si="4"/>
        <v>5008</v>
      </c>
      <c r="U68" s="12">
        <f t="shared" si="5"/>
        <v>9180</v>
      </c>
    </row>
    <row r="69" spans="1:21">
      <c r="A69" s="5" t="s">
        <v>134</v>
      </c>
      <c r="B69" s="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15" t="s">
        <v>161</v>
      </c>
      <c r="N69" s="15" t="s">
        <v>162</v>
      </c>
      <c r="O69" s="15">
        <v>46</v>
      </c>
      <c r="P69">
        <v>4</v>
      </c>
      <c r="Q69" s="12">
        <v>1252</v>
      </c>
      <c r="R69" s="12">
        <v>2295</v>
      </c>
      <c r="S69" s="12">
        <v>4172</v>
      </c>
      <c r="T69" s="12">
        <f t="shared" si="4"/>
        <v>5008</v>
      </c>
      <c r="U69" s="12">
        <f t="shared" si="5"/>
        <v>9180</v>
      </c>
    </row>
    <row r="70" spans="1:21">
      <c r="A70" s="5" t="s">
        <v>135</v>
      </c>
      <c r="B70" s="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15" t="s">
        <v>165</v>
      </c>
      <c r="N70" s="15" t="s">
        <v>162</v>
      </c>
      <c r="O70" s="15">
        <v>40</v>
      </c>
      <c r="P70">
        <v>2</v>
      </c>
      <c r="Q70" s="12">
        <v>295</v>
      </c>
      <c r="R70" s="12">
        <v>540</v>
      </c>
      <c r="S70" s="12">
        <v>490</v>
      </c>
      <c r="T70" s="12">
        <f t="shared" si="4"/>
        <v>590</v>
      </c>
      <c r="U70" s="12">
        <f t="shared" si="5"/>
        <v>1080</v>
      </c>
    </row>
    <row r="71" spans="1:21">
      <c r="A71" s="5" t="s">
        <v>137</v>
      </c>
      <c r="B71" s="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15" t="s">
        <v>161</v>
      </c>
      <c r="N71" s="15" t="s">
        <v>162</v>
      </c>
      <c r="O71" s="15">
        <v>46</v>
      </c>
      <c r="P71">
        <v>2</v>
      </c>
      <c r="Q71" s="12">
        <v>1252</v>
      </c>
      <c r="R71" s="12">
        <v>2295</v>
      </c>
      <c r="S71" s="12">
        <v>2086</v>
      </c>
      <c r="T71" s="12">
        <f t="shared" si="4"/>
        <v>2504</v>
      </c>
      <c r="U71" s="12">
        <f t="shared" si="5"/>
        <v>4590</v>
      </c>
    </row>
    <row r="72" spans="1:21">
      <c r="A72" s="5" t="s">
        <v>139</v>
      </c>
      <c r="B72" s="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15" t="s">
        <v>161</v>
      </c>
      <c r="N72" s="15" t="s">
        <v>163</v>
      </c>
      <c r="O72" s="15">
        <v>38</v>
      </c>
      <c r="P72">
        <v>1</v>
      </c>
      <c r="Q72" s="12">
        <v>1266</v>
      </c>
      <c r="R72" s="12">
        <v>2320</v>
      </c>
      <c r="S72" s="12">
        <v>1054</v>
      </c>
      <c r="T72" s="12">
        <f t="shared" si="4"/>
        <v>1266</v>
      </c>
      <c r="U72" s="12">
        <f t="shared" si="5"/>
        <v>2320</v>
      </c>
    </row>
    <row r="73" spans="1:21">
      <c r="A73" s="5" t="s">
        <v>140</v>
      </c>
      <c r="B73" s="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15" t="s">
        <v>166</v>
      </c>
      <c r="N73" s="15" t="s">
        <v>162</v>
      </c>
      <c r="O73" s="15">
        <v>38</v>
      </c>
      <c r="P73">
        <v>4</v>
      </c>
      <c r="Q73" s="12">
        <v>1898</v>
      </c>
      <c r="R73" s="12">
        <v>3375</v>
      </c>
      <c r="S73" s="12">
        <v>5908</v>
      </c>
      <c r="T73" s="12">
        <f t="shared" si="4"/>
        <v>7592</v>
      </c>
      <c r="U73" s="12">
        <f t="shared" si="5"/>
        <v>13500</v>
      </c>
    </row>
    <row r="74" spans="1:21">
      <c r="A74" s="5" t="s">
        <v>141</v>
      </c>
      <c r="B74" s="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15" t="s">
        <v>161</v>
      </c>
      <c r="N74" s="15" t="s">
        <v>162</v>
      </c>
      <c r="O74" s="15">
        <v>46</v>
      </c>
      <c r="P74">
        <v>4</v>
      </c>
      <c r="Q74" s="12">
        <v>1252</v>
      </c>
      <c r="R74" s="12">
        <v>2295</v>
      </c>
      <c r="S74" s="12">
        <v>4172</v>
      </c>
      <c r="T74" s="12">
        <f t="shared" si="4"/>
        <v>5008</v>
      </c>
      <c r="U74" s="12">
        <f t="shared" si="5"/>
        <v>9180</v>
      </c>
    </row>
    <row r="75" spans="1:21">
      <c r="A75" s="5" t="s">
        <v>142</v>
      </c>
      <c r="B75" s="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15" t="s">
        <v>165</v>
      </c>
      <c r="N75" s="15" t="s">
        <v>162</v>
      </c>
      <c r="O75" s="15">
        <v>52</v>
      </c>
      <c r="P75">
        <v>3</v>
      </c>
      <c r="Q75" s="12">
        <v>295</v>
      </c>
      <c r="R75" s="12">
        <v>540</v>
      </c>
      <c r="S75" s="12">
        <v>735</v>
      </c>
      <c r="T75" s="12">
        <f t="shared" si="4"/>
        <v>885</v>
      </c>
      <c r="U75" s="12">
        <f t="shared" si="5"/>
        <v>1620</v>
      </c>
    </row>
    <row r="76" spans="1:21">
      <c r="A76" s="5" t="s">
        <v>144</v>
      </c>
      <c r="B76" s="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15" t="s">
        <v>161</v>
      </c>
      <c r="N76" s="15" t="s">
        <v>163</v>
      </c>
      <c r="O76" s="15">
        <v>38</v>
      </c>
      <c r="P76">
        <v>1</v>
      </c>
      <c r="Q76" s="12">
        <v>1266</v>
      </c>
      <c r="R76" s="12">
        <v>2320</v>
      </c>
      <c r="S76" s="12">
        <v>1054</v>
      </c>
      <c r="T76" s="12">
        <f t="shared" si="4"/>
        <v>1266</v>
      </c>
      <c r="U76" s="12">
        <f t="shared" si="5"/>
        <v>2320</v>
      </c>
    </row>
    <row r="77" spans="1:21">
      <c r="A77" s="5" t="s">
        <v>145</v>
      </c>
      <c r="B77" s="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15" t="s">
        <v>161</v>
      </c>
      <c r="N77" s="15" t="s">
        <v>163</v>
      </c>
      <c r="O77" s="15">
        <v>38</v>
      </c>
      <c r="P77">
        <v>1</v>
      </c>
      <c r="Q77" s="12">
        <v>1266</v>
      </c>
      <c r="R77" s="12">
        <v>2320</v>
      </c>
      <c r="S77" s="12">
        <v>1054</v>
      </c>
      <c r="T77" s="12">
        <f t="shared" si="4"/>
        <v>1266</v>
      </c>
      <c r="U77" s="12">
        <f t="shared" si="5"/>
        <v>2320</v>
      </c>
    </row>
    <row r="78" spans="1:21">
      <c r="A78" s="5" t="s">
        <v>146</v>
      </c>
      <c r="B78" s="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15" t="s">
        <v>161</v>
      </c>
      <c r="N78" s="15" t="s">
        <v>163</v>
      </c>
      <c r="O78" s="15">
        <v>38</v>
      </c>
      <c r="P78">
        <v>3</v>
      </c>
      <c r="Q78" s="12">
        <v>1266</v>
      </c>
      <c r="R78" s="12">
        <v>2320</v>
      </c>
      <c r="S78" s="12">
        <v>3162</v>
      </c>
      <c r="T78" s="12">
        <f t="shared" si="4"/>
        <v>3798</v>
      </c>
      <c r="U78" s="12">
        <f t="shared" si="5"/>
        <v>6960</v>
      </c>
    </row>
    <row r="79" spans="1:21">
      <c r="A79" s="5" t="s">
        <v>148</v>
      </c>
      <c r="B79" s="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15" t="s">
        <v>164</v>
      </c>
      <c r="N79" s="15" t="s">
        <v>163</v>
      </c>
      <c r="O79" s="15">
        <v>46</v>
      </c>
      <c r="P79">
        <v>2</v>
      </c>
      <c r="Q79" s="12">
        <v>420</v>
      </c>
      <c r="R79" s="12">
        <v>769</v>
      </c>
      <c r="S79" s="12">
        <v>698</v>
      </c>
      <c r="T79" s="12">
        <f t="shared" si="4"/>
        <v>840</v>
      </c>
      <c r="U79" s="12">
        <f t="shared" si="5"/>
        <v>1538</v>
      </c>
    </row>
    <row r="80" spans="1:21">
      <c r="A80" s="5" t="s">
        <v>149</v>
      </c>
      <c r="B80" s="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15" t="s">
        <v>161</v>
      </c>
      <c r="N80" s="15" t="s">
        <v>163</v>
      </c>
      <c r="O80" s="15">
        <v>38</v>
      </c>
      <c r="P80">
        <v>3</v>
      </c>
      <c r="Q80" s="12">
        <v>1266</v>
      </c>
      <c r="R80" s="12">
        <v>2320</v>
      </c>
      <c r="S80" s="12">
        <v>3162</v>
      </c>
      <c r="T80" s="12">
        <f t="shared" si="4"/>
        <v>3798</v>
      </c>
      <c r="U80" s="12">
        <f t="shared" si="5"/>
        <v>6960</v>
      </c>
    </row>
    <row r="81" spans="1:21">
      <c r="A81" s="5" t="s">
        <v>150</v>
      </c>
      <c r="B81" s="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15" t="s">
        <v>161</v>
      </c>
      <c r="N81" s="15" t="s">
        <v>162</v>
      </c>
      <c r="O81" s="15">
        <v>42</v>
      </c>
      <c r="P81">
        <v>3</v>
      </c>
      <c r="Q81" s="12">
        <v>1252</v>
      </c>
      <c r="R81" s="12">
        <v>2295</v>
      </c>
      <c r="S81" s="12">
        <v>3129</v>
      </c>
      <c r="T81" s="12">
        <f t="shared" si="4"/>
        <v>3756</v>
      </c>
      <c r="U81" s="12">
        <f t="shared" si="5"/>
        <v>6885</v>
      </c>
    </row>
    <row r="82" spans="1:21">
      <c r="A82" s="5" t="s">
        <v>151</v>
      </c>
      <c r="B82" s="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15" t="s">
        <v>165</v>
      </c>
      <c r="N82" s="15" t="s">
        <v>163</v>
      </c>
      <c r="O82" s="15">
        <v>42</v>
      </c>
      <c r="P82">
        <v>1</v>
      </c>
      <c r="Q82" s="12">
        <v>308</v>
      </c>
      <c r="R82" s="12">
        <v>565</v>
      </c>
      <c r="S82" s="12">
        <v>257</v>
      </c>
      <c r="T82" s="12">
        <f t="shared" si="4"/>
        <v>308</v>
      </c>
      <c r="U82" s="12">
        <f t="shared" si="5"/>
        <v>565</v>
      </c>
    </row>
    <row r="83" spans="1:21">
      <c r="A83" s="5" t="s">
        <v>152</v>
      </c>
      <c r="B83" s="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15" t="s">
        <v>161</v>
      </c>
      <c r="N83" s="15" t="s">
        <v>162</v>
      </c>
      <c r="O83" s="15">
        <v>38</v>
      </c>
      <c r="P83">
        <v>1</v>
      </c>
      <c r="Q83" s="12">
        <v>1252</v>
      </c>
      <c r="R83" s="12">
        <v>2295</v>
      </c>
      <c r="S83" s="12">
        <v>1043</v>
      </c>
      <c r="T83" s="12">
        <f t="shared" si="4"/>
        <v>1252</v>
      </c>
      <c r="U83" s="12">
        <f t="shared" si="5"/>
        <v>2295</v>
      </c>
    </row>
    <row r="84" spans="1:21">
      <c r="A84" s="5" t="s">
        <v>153</v>
      </c>
      <c r="B84" s="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15" t="s">
        <v>161</v>
      </c>
      <c r="N84" s="15" t="s">
        <v>162</v>
      </c>
      <c r="O84" s="15">
        <v>46</v>
      </c>
      <c r="P84">
        <v>1</v>
      </c>
      <c r="Q84" s="12">
        <v>1252</v>
      </c>
      <c r="R84" s="12">
        <v>2295</v>
      </c>
      <c r="S84" s="12">
        <v>1043</v>
      </c>
      <c r="T84" s="12">
        <f t="shared" si="4"/>
        <v>1252</v>
      </c>
      <c r="U84" s="12">
        <f t="shared" si="5"/>
        <v>2295</v>
      </c>
    </row>
    <row r="85" spans="1:21">
      <c r="A85" s="5" t="s">
        <v>154</v>
      </c>
      <c r="B85" s="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15" t="s">
        <v>161</v>
      </c>
      <c r="N85" s="15" t="s">
        <v>163</v>
      </c>
      <c r="O85" s="15">
        <v>38</v>
      </c>
      <c r="P85">
        <v>1</v>
      </c>
      <c r="Q85" s="12">
        <v>1266</v>
      </c>
      <c r="R85" s="12">
        <v>2320</v>
      </c>
      <c r="S85" s="12">
        <v>1054</v>
      </c>
      <c r="T85" s="12">
        <f t="shared" si="4"/>
        <v>1266</v>
      </c>
      <c r="U85" s="12">
        <f t="shared" si="5"/>
        <v>2320</v>
      </c>
    </row>
    <row r="86" spans="1:21">
      <c r="A86" s="5" t="s">
        <v>155</v>
      </c>
      <c r="B86" s="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15" t="s">
        <v>161</v>
      </c>
      <c r="N86" s="15" t="s">
        <v>163</v>
      </c>
      <c r="O86" s="15">
        <v>42</v>
      </c>
      <c r="P86">
        <v>1</v>
      </c>
      <c r="Q86" s="12">
        <v>1266</v>
      </c>
      <c r="R86" s="12">
        <v>2320</v>
      </c>
      <c r="S86" s="12">
        <v>1054</v>
      </c>
      <c r="T86" s="12">
        <f t="shared" si="4"/>
        <v>1266</v>
      </c>
      <c r="U86" s="12">
        <f t="shared" si="5"/>
        <v>2320</v>
      </c>
    </row>
    <row r="87" spans="1:21">
      <c r="A87" s="5" t="s">
        <v>156</v>
      </c>
      <c r="B87" s="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15" t="s">
        <v>161</v>
      </c>
      <c r="N87" s="15" t="s">
        <v>162</v>
      </c>
      <c r="O87" s="15">
        <v>42</v>
      </c>
      <c r="P87">
        <v>1</v>
      </c>
      <c r="Q87" s="12">
        <v>1252</v>
      </c>
      <c r="R87" s="12">
        <v>2295</v>
      </c>
      <c r="S87" s="12">
        <v>1043</v>
      </c>
      <c r="T87" s="12">
        <f t="shared" si="4"/>
        <v>1252</v>
      </c>
      <c r="U87" s="12">
        <f t="shared" si="5"/>
        <v>2295</v>
      </c>
    </row>
    <row r="88" spans="1:21">
      <c r="A88" s="5" t="s">
        <v>157</v>
      </c>
      <c r="B88" s="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15" t="s">
        <v>165</v>
      </c>
      <c r="N88" s="15" t="s">
        <v>162</v>
      </c>
      <c r="O88" s="15">
        <v>42</v>
      </c>
      <c r="P88">
        <v>1</v>
      </c>
      <c r="Q88" s="12">
        <v>295</v>
      </c>
      <c r="R88" s="12">
        <v>540</v>
      </c>
      <c r="S88" s="12">
        <v>245</v>
      </c>
      <c r="T88" s="12">
        <f t="shared" si="4"/>
        <v>295</v>
      </c>
      <c r="U88" s="12">
        <f t="shared" si="5"/>
        <v>540</v>
      </c>
    </row>
    <row r="89" spans="1:21">
      <c r="A89" s="18" t="s">
        <v>158</v>
      </c>
      <c r="B89" s="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15" t="s">
        <v>161</v>
      </c>
      <c r="N89" s="15" t="s">
        <v>162</v>
      </c>
      <c r="O89" s="15">
        <v>42</v>
      </c>
      <c r="P89">
        <v>4</v>
      </c>
      <c r="Q89" s="12">
        <v>1252</v>
      </c>
      <c r="R89" s="12">
        <v>2295</v>
      </c>
      <c r="S89" s="12">
        <v>4172</v>
      </c>
      <c r="T89" s="12">
        <f t="shared" si="4"/>
        <v>5008</v>
      </c>
      <c r="U89" s="12">
        <f t="shared" si="5"/>
        <v>9180</v>
      </c>
    </row>
    <row r="90" spans="1:21">
      <c r="M90"/>
      <c r="N90"/>
      <c r="O90"/>
    </row>
  </sheetData>
  <conditionalFormatting sqref="A1:A89 A91:A1048576">
    <cfRule type="duplicateValues" dxfId="5" priority="3"/>
  </conditionalFormatting>
  <conditionalFormatting sqref="H1:XFD89 H91:XFD1048576 A1:F89 V90:XFD90 A91:F1048576">
    <cfRule type="containsText" dxfId="4" priority="2" operator="containsText" text="blanks">
      <formula>NOT(ISERROR(SEARCH("blanks",A1)))</formula>
    </cfRule>
  </conditionalFormatting>
  <conditionalFormatting sqref="Q1:R1048576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088B-8837-4386-A8B1-4DEAB5E95AEE}">
  <dimension ref="A1:U90"/>
  <sheetViews>
    <sheetView workbookViewId="0">
      <selection activeCell="Q10" sqref="Q10"/>
    </sheetView>
  </sheetViews>
  <sheetFormatPr defaultColWidth="9" defaultRowHeight="14.4"/>
  <cols>
    <col min="1" max="1" width="13.33203125" customWidth="1"/>
    <col min="2" max="2" width="10.6640625" customWidth="1"/>
    <col min="4" max="4" width="10.109375" customWidth="1"/>
    <col min="7" max="7" width="19.6640625" customWidth="1"/>
    <col min="8" max="8" width="20.88671875" customWidth="1"/>
    <col min="9" max="9" width="15.44140625" customWidth="1"/>
    <col min="10" max="10" width="19.88671875" customWidth="1"/>
    <col min="11" max="11" width="22.5546875" customWidth="1"/>
    <col min="12" max="12" width="14.88671875" customWidth="1"/>
    <col min="13" max="15" width="25" style="3" customWidth="1"/>
    <col min="16" max="16" width="14.88671875" customWidth="1"/>
    <col min="17" max="17" width="10.44140625" customWidth="1"/>
    <col min="18" max="18" width="11" customWidth="1"/>
    <col min="19" max="20" width="9.88671875" customWidth="1"/>
    <col min="21" max="21" width="10.886718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6" t="s">
        <v>7</v>
      </c>
      <c r="I1" s="1" t="s">
        <v>8</v>
      </c>
      <c r="J1" s="1" t="s">
        <v>9</v>
      </c>
      <c r="K1" s="16" t="s">
        <v>171</v>
      </c>
      <c r="L1" s="16" t="s">
        <v>172</v>
      </c>
      <c r="M1" s="19" t="s">
        <v>168</v>
      </c>
      <c r="N1" s="19" t="s">
        <v>167</v>
      </c>
      <c r="O1" s="20" t="s">
        <v>160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5" t="s">
        <v>19</v>
      </c>
      <c r="B2" s="6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169</v>
      </c>
      <c r="I2" s="22" t="s">
        <v>23</v>
      </c>
      <c r="J2" t="s">
        <v>24</v>
      </c>
      <c r="K2" t="s">
        <v>25</v>
      </c>
      <c r="L2" t="s">
        <v>26</v>
      </c>
      <c r="M2" s="15" t="s">
        <v>161</v>
      </c>
      <c r="N2" s="15" t="s">
        <v>162</v>
      </c>
      <c r="O2" s="15">
        <v>46</v>
      </c>
      <c r="P2">
        <v>4</v>
      </c>
      <c r="Q2" s="12">
        <v>1252</v>
      </c>
      <c r="R2" s="12">
        <v>2295</v>
      </c>
      <c r="S2" s="12">
        <v>4172</v>
      </c>
      <c r="T2" s="12">
        <f t="shared" ref="T2:T33" si="0">P2*Q2</f>
        <v>5008</v>
      </c>
      <c r="U2" s="12">
        <f t="shared" ref="U2:U33" si="1">P2*R2</f>
        <v>9180</v>
      </c>
    </row>
    <row r="3" spans="1:21">
      <c r="A3" s="21" t="s">
        <v>159</v>
      </c>
      <c r="B3" s="6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170</v>
      </c>
      <c r="I3" t="s">
        <v>29</v>
      </c>
      <c r="J3" t="s">
        <v>30</v>
      </c>
      <c r="K3" t="s">
        <v>25</v>
      </c>
      <c r="L3" t="s">
        <v>26</v>
      </c>
      <c r="M3" s="15" t="s">
        <v>161</v>
      </c>
      <c r="N3" s="15" t="s">
        <v>163</v>
      </c>
      <c r="O3" s="15">
        <v>42</v>
      </c>
      <c r="P3">
        <v>1</v>
      </c>
      <c r="Q3" s="12">
        <v>1266</v>
      </c>
      <c r="R3" s="12">
        <v>2320</v>
      </c>
      <c r="S3" s="12">
        <v>1054</v>
      </c>
      <c r="T3" s="12">
        <f t="shared" si="0"/>
        <v>1266</v>
      </c>
      <c r="U3" s="12">
        <f t="shared" si="1"/>
        <v>2320</v>
      </c>
    </row>
    <row r="4" spans="1:21">
      <c r="A4" s="5" t="s">
        <v>32</v>
      </c>
      <c r="B4" s="6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170</v>
      </c>
      <c r="I4" t="s">
        <v>23</v>
      </c>
      <c r="J4" t="s">
        <v>24</v>
      </c>
      <c r="K4" t="s">
        <v>25</v>
      </c>
      <c r="L4" t="s">
        <v>26</v>
      </c>
      <c r="M4" s="15" t="s">
        <v>164</v>
      </c>
      <c r="N4" s="15" t="s">
        <v>163</v>
      </c>
      <c r="O4" s="15">
        <v>46</v>
      </c>
      <c r="P4">
        <v>2</v>
      </c>
      <c r="Q4" s="12">
        <v>420</v>
      </c>
      <c r="R4" s="12">
        <v>769</v>
      </c>
      <c r="S4" s="12">
        <v>698</v>
      </c>
      <c r="T4" s="12">
        <f t="shared" si="0"/>
        <v>840</v>
      </c>
      <c r="U4" s="12">
        <f t="shared" si="1"/>
        <v>1538</v>
      </c>
    </row>
    <row r="5" spans="1:21">
      <c r="A5" s="5" t="s">
        <v>35</v>
      </c>
      <c r="B5" s="6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169</v>
      </c>
      <c r="I5" t="s">
        <v>37</v>
      </c>
      <c r="J5" t="s">
        <v>38</v>
      </c>
      <c r="K5" t="s">
        <v>25</v>
      </c>
      <c r="L5" t="s">
        <v>26</v>
      </c>
      <c r="M5" s="15" t="s">
        <v>164</v>
      </c>
      <c r="N5" s="15" t="s">
        <v>163</v>
      </c>
      <c r="O5" s="15">
        <v>42</v>
      </c>
      <c r="P5">
        <v>1</v>
      </c>
      <c r="Q5" s="12">
        <v>420</v>
      </c>
      <c r="R5" s="12">
        <v>769</v>
      </c>
      <c r="S5" s="12">
        <v>349</v>
      </c>
      <c r="T5" s="12">
        <f t="shared" si="0"/>
        <v>420</v>
      </c>
      <c r="U5" s="12">
        <f t="shared" si="1"/>
        <v>769</v>
      </c>
    </row>
    <row r="6" spans="1:21">
      <c r="A6" s="5" t="s">
        <v>40</v>
      </c>
      <c r="B6" s="6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169</v>
      </c>
      <c r="I6" t="s">
        <v>23</v>
      </c>
      <c r="J6" t="s">
        <v>24</v>
      </c>
      <c r="K6" t="s">
        <v>25</v>
      </c>
      <c r="L6" t="s">
        <v>26</v>
      </c>
      <c r="M6" s="15" t="s">
        <v>161</v>
      </c>
      <c r="N6" s="15" t="s">
        <v>162</v>
      </c>
      <c r="O6" s="15">
        <v>46</v>
      </c>
      <c r="P6">
        <v>2</v>
      </c>
      <c r="Q6" s="12">
        <v>1252</v>
      </c>
      <c r="R6" s="12">
        <v>2295</v>
      </c>
      <c r="S6" s="12">
        <v>2086</v>
      </c>
      <c r="T6" s="12">
        <f t="shared" si="0"/>
        <v>2504</v>
      </c>
      <c r="U6" s="12">
        <f t="shared" si="1"/>
        <v>4590</v>
      </c>
    </row>
    <row r="7" spans="1:21">
      <c r="A7" s="5" t="s">
        <v>42</v>
      </c>
      <c r="B7" s="6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169</v>
      </c>
      <c r="I7" t="s">
        <v>29</v>
      </c>
      <c r="J7" t="s">
        <v>30</v>
      </c>
      <c r="K7" t="s">
        <v>25</v>
      </c>
      <c r="L7" t="s">
        <v>26</v>
      </c>
      <c r="M7" s="15" t="s">
        <v>161</v>
      </c>
      <c r="N7" s="15" t="s">
        <v>162</v>
      </c>
      <c r="O7" s="15">
        <v>38</v>
      </c>
      <c r="P7">
        <v>1</v>
      </c>
      <c r="Q7" s="12">
        <v>1252</v>
      </c>
      <c r="R7" s="12">
        <v>2295</v>
      </c>
      <c r="S7" s="12">
        <v>1043</v>
      </c>
      <c r="T7" s="12">
        <f t="shared" si="0"/>
        <v>1252</v>
      </c>
      <c r="U7" s="12">
        <f t="shared" si="1"/>
        <v>2295</v>
      </c>
    </row>
    <row r="8" spans="1:21">
      <c r="A8" s="5" t="s">
        <v>45</v>
      </c>
      <c r="B8" s="6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170</v>
      </c>
      <c r="I8" t="s">
        <v>23</v>
      </c>
      <c r="J8" t="s">
        <v>47</v>
      </c>
      <c r="K8" t="s">
        <v>25</v>
      </c>
      <c r="L8" t="s">
        <v>26</v>
      </c>
      <c r="M8" s="15" t="s">
        <v>161</v>
      </c>
      <c r="N8" s="15" t="s">
        <v>162</v>
      </c>
      <c r="O8" s="15">
        <v>46</v>
      </c>
      <c r="P8">
        <v>1</v>
      </c>
      <c r="Q8" s="12">
        <v>1252</v>
      </c>
      <c r="R8" s="12">
        <v>2295</v>
      </c>
      <c r="S8" s="12">
        <v>1043</v>
      </c>
      <c r="T8" s="12">
        <f t="shared" si="0"/>
        <v>1252</v>
      </c>
      <c r="U8" s="12">
        <f t="shared" si="1"/>
        <v>2295</v>
      </c>
    </row>
    <row r="9" spans="1:21" s="2" customFormat="1">
      <c r="A9" s="5" t="s">
        <v>48</v>
      </c>
      <c r="B9" s="6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169</v>
      </c>
      <c r="I9" t="s">
        <v>37</v>
      </c>
      <c r="J9" t="s">
        <v>38</v>
      </c>
      <c r="K9" t="s">
        <v>25</v>
      </c>
      <c r="L9" t="s">
        <v>26</v>
      </c>
      <c r="M9" s="15" t="s">
        <v>164</v>
      </c>
      <c r="N9" s="15" t="s">
        <v>163</v>
      </c>
      <c r="O9" s="15">
        <v>42</v>
      </c>
      <c r="P9">
        <v>4</v>
      </c>
      <c r="Q9" s="12">
        <v>420</v>
      </c>
      <c r="R9" s="12">
        <v>769</v>
      </c>
      <c r="S9" s="12">
        <v>1396</v>
      </c>
      <c r="T9" s="12">
        <f t="shared" si="0"/>
        <v>1680</v>
      </c>
      <c r="U9" s="12">
        <f t="shared" si="1"/>
        <v>3076</v>
      </c>
    </row>
    <row r="10" spans="1:21">
      <c r="A10" s="5" t="s">
        <v>49</v>
      </c>
      <c r="B10" s="6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169</v>
      </c>
      <c r="I10" t="s">
        <v>23</v>
      </c>
      <c r="J10" t="s">
        <v>24</v>
      </c>
      <c r="K10" t="s">
        <v>25</v>
      </c>
      <c r="L10" t="s">
        <v>26</v>
      </c>
      <c r="M10" s="15" t="s">
        <v>161</v>
      </c>
      <c r="N10" s="15" t="s">
        <v>162</v>
      </c>
      <c r="O10" s="15">
        <v>46</v>
      </c>
      <c r="P10">
        <v>4</v>
      </c>
      <c r="Q10" s="12">
        <v>1252</v>
      </c>
      <c r="R10" s="12">
        <v>2295</v>
      </c>
      <c r="S10" s="12">
        <v>4172</v>
      </c>
      <c r="T10" s="12">
        <f t="shared" si="0"/>
        <v>5008</v>
      </c>
      <c r="U10" s="12">
        <f t="shared" si="1"/>
        <v>9180</v>
      </c>
    </row>
    <row r="11" spans="1:21">
      <c r="A11" s="5" t="s">
        <v>50</v>
      </c>
      <c r="B11" s="6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170</v>
      </c>
      <c r="I11" t="s">
        <v>51</v>
      </c>
      <c r="J11" t="s">
        <v>52</v>
      </c>
      <c r="K11" t="s">
        <v>25</v>
      </c>
      <c r="L11" t="s">
        <v>26</v>
      </c>
      <c r="M11" s="15" t="s">
        <v>161</v>
      </c>
      <c r="N11" s="15" t="s">
        <v>162</v>
      </c>
      <c r="O11" s="15">
        <v>38</v>
      </c>
      <c r="P11">
        <v>4</v>
      </c>
      <c r="Q11" s="12">
        <v>1252</v>
      </c>
      <c r="R11" s="12">
        <v>2295</v>
      </c>
      <c r="S11" s="12">
        <v>4172</v>
      </c>
      <c r="T11" s="12">
        <f t="shared" si="0"/>
        <v>5008</v>
      </c>
      <c r="U11" s="12">
        <f t="shared" si="1"/>
        <v>9180</v>
      </c>
    </row>
    <row r="12" spans="1:21">
      <c r="A12" s="5" t="s">
        <v>53</v>
      </c>
      <c r="B12" s="6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169</v>
      </c>
      <c r="I12" t="s">
        <v>37</v>
      </c>
      <c r="J12" t="s">
        <v>54</v>
      </c>
      <c r="K12" t="s">
        <v>25</v>
      </c>
      <c r="L12" t="s">
        <v>26</v>
      </c>
      <c r="M12" s="15" t="s">
        <v>161</v>
      </c>
      <c r="N12" s="15" t="s">
        <v>163</v>
      </c>
      <c r="O12" s="15">
        <v>38</v>
      </c>
      <c r="P12">
        <v>1</v>
      </c>
      <c r="Q12" s="12">
        <v>1266</v>
      </c>
      <c r="R12" s="12">
        <v>2320</v>
      </c>
      <c r="S12" s="12">
        <v>1054</v>
      </c>
      <c r="T12" s="12">
        <f t="shared" si="0"/>
        <v>1266</v>
      </c>
      <c r="U12" s="12">
        <f t="shared" si="1"/>
        <v>2320</v>
      </c>
    </row>
    <row r="13" spans="1:21">
      <c r="A13" s="5" t="s">
        <v>56</v>
      </c>
      <c r="B13" s="6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169</v>
      </c>
      <c r="I13" t="s">
        <v>23</v>
      </c>
      <c r="J13" t="s">
        <v>24</v>
      </c>
      <c r="K13" t="s">
        <v>25</v>
      </c>
      <c r="L13" t="s">
        <v>26</v>
      </c>
      <c r="M13" s="15" t="s">
        <v>161</v>
      </c>
      <c r="N13" s="15" t="s">
        <v>162</v>
      </c>
      <c r="O13" s="15">
        <v>46</v>
      </c>
      <c r="P13">
        <v>1</v>
      </c>
      <c r="Q13" s="12">
        <v>1252</v>
      </c>
      <c r="R13" s="12">
        <v>2295</v>
      </c>
      <c r="S13" s="12">
        <v>1043</v>
      </c>
      <c r="T13" s="12">
        <f t="shared" si="0"/>
        <v>1252</v>
      </c>
      <c r="U13" s="12">
        <f t="shared" si="1"/>
        <v>2295</v>
      </c>
    </row>
    <row r="14" spans="1:21">
      <c r="A14" s="5" t="s">
        <v>57</v>
      </c>
      <c r="B14" s="6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170</v>
      </c>
      <c r="I14" t="s">
        <v>29</v>
      </c>
      <c r="J14" t="s">
        <v>30</v>
      </c>
      <c r="K14" t="s">
        <v>25</v>
      </c>
      <c r="L14" t="s">
        <v>26</v>
      </c>
      <c r="M14" s="15" t="s">
        <v>164</v>
      </c>
      <c r="N14" s="15" t="s">
        <v>163</v>
      </c>
      <c r="O14" s="15">
        <v>46</v>
      </c>
      <c r="P14">
        <v>3</v>
      </c>
      <c r="Q14" s="12">
        <v>420</v>
      </c>
      <c r="R14" s="12">
        <v>769</v>
      </c>
      <c r="S14" s="12">
        <v>1047</v>
      </c>
      <c r="T14" s="12">
        <f t="shared" si="0"/>
        <v>1260</v>
      </c>
      <c r="U14" s="12">
        <f t="shared" si="1"/>
        <v>2307</v>
      </c>
    </row>
    <row r="15" spans="1:21">
      <c r="A15" s="5" t="s">
        <v>58</v>
      </c>
      <c r="B15" s="6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170</v>
      </c>
      <c r="I15" t="s">
        <v>59</v>
      </c>
      <c r="J15" t="s">
        <v>60</v>
      </c>
      <c r="K15" t="s">
        <v>25</v>
      </c>
      <c r="L15" t="s">
        <v>26</v>
      </c>
      <c r="M15" s="15" t="s">
        <v>161</v>
      </c>
      <c r="N15" s="15" t="s">
        <v>162</v>
      </c>
      <c r="O15" s="15">
        <v>46</v>
      </c>
      <c r="P15">
        <v>1</v>
      </c>
      <c r="Q15" s="12">
        <v>1252</v>
      </c>
      <c r="R15" s="12">
        <v>2295</v>
      </c>
      <c r="S15" s="12">
        <v>1043</v>
      </c>
      <c r="T15" s="12">
        <f t="shared" si="0"/>
        <v>1252</v>
      </c>
      <c r="U15" s="12">
        <f t="shared" si="1"/>
        <v>2295</v>
      </c>
    </row>
    <row r="16" spans="1:21">
      <c r="A16" s="5" t="s">
        <v>61</v>
      </c>
      <c r="B16" s="6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170</v>
      </c>
      <c r="I16" t="s">
        <v>37</v>
      </c>
      <c r="J16" t="s">
        <v>38</v>
      </c>
      <c r="K16" t="s">
        <v>25</v>
      </c>
      <c r="L16" t="s">
        <v>26</v>
      </c>
      <c r="M16" s="15" t="s">
        <v>161</v>
      </c>
      <c r="N16" s="15" t="s">
        <v>162</v>
      </c>
      <c r="O16" s="15">
        <v>42</v>
      </c>
      <c r="P16">
        <v>1</v>
      </c>
      <c r="Q16" s="12">
        <v>1252</v>
      </c>
      <c r="R16" s="12">
        <v>2295</v>
      </c>
      <c r="S16" s="12">
        <v>1043</v>
      </c>
      <c r="T16" s="12">
        <f t="shared" si="0"/>
        <v>1252</v>
      </c>
      <c r="U16" s="12">
        <f t="shared" si="1"/>
        <v>2295</v>
      </c>
    </row>
    <row r="17" spans="1:21">
      <c r="A17" s="5" t="s">
        <v>63</v>
      </c>
      <c r="B17" s="6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170</v>
      </c>
      <c r="I17" t="s">
        <v>29</v>
      </c>
      <c r="J17" t="s">
        <v>30</v>
      </c>
      <c r="K17" t="s">
        <v>25</v>
      </c>
      <c r="L17" t="s">
        <v>26</v>
      </c>
      <c r="M17" s="15" t="s">
        <v>161</v>
      </c>
      <c r="N17" s="15" t="s">
        <v>163</v>
      </c>
      <c r="O17" s="15">
        <v>38</v>
      </c>
      <c r="P17">
        <v>1</v>
      </c>
      <c r="Q17" s="12">
        <v>1266</v>
      </c>
      <c r="R17" s="12">
        <v>2320</v>
      </c>
      <c r="S17" s="12">
        <v>1054</v>
      </c>
      <c r="T17" s="12">
        <f t="shared" si="0"/>
        <v>1266</v>
      </c>
      <c r="U17" s="12">
        <f t="shared" si="1"/>
        <v>2320</v>
      </c>
    </row>
    <row r="18" spans="1:21">
      <c r="A18" s="5" t="s">
        <v>64</v>
      </c>
      <c r="B18" s="6">
        <v>44537</v>
      </c>
      <c r="C18">
        <v>7</v>
      </c>
      <c r="D18" s="22" t="s">
        <v>20</v>
      </c>
      <c r="E18">
        <v>2021</v>
      </c>
      <c r="F18">
        <v>30</v>
      </c>
      <c r="G18" t="s">
        <v>36</v>
      </c>
      <c r="H18" t="s">
        <v>170</v>
      </c>
      <c r="I18" t="s">
        <v>23</v>
      </c>
      <c r="J18" t="s">
        <v>24</v>
      </c>
      <c r="K18" t="s">
        <v>25</v>
      </c>
      <c r="L18" t="s">
        <v>26</v>
      </c>
      <c r="M18" s="15" t="s">
        <v>164</v>
      </c>
      <c r="N18" s="15" t="s">
        <v>163</v>
      </c>
      <c r="O18" s="15">
        <v>38</v>
      </c>
      <c r="P18">
        <v>4</v>
      </c>
      <c r="Q18" s="12">
        <v>420</v>
      </c>
      <c r="R18" s="12">
        <v>769</v>
      </c>
      <c r="S18" s="12">
        <v>1396</v>
      </c>
      <c r="T18" s="12">
        <f t="shared" si="0"/>
        <v>1680</v>
      </c>
      <c r="U18" s="12">
        <f t="shared" si="1"/>
        <v>3076</v>
      </c>
    </row>
    <row r="19" spans="1:21">
      <c r="A19" s="5" t="s">
        <v>67</v>
      </c>
      <c r="B19" s="6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170</v>
      </c>
      <c r="I19" t="s">
        <v>23</v>
      </c>
      <c r="J19" t="s">
        <v>24</v>
      </c>
      <c r="K19" t="s">
        <v>25</v>
      </c>
      <c r="L19" t="s">
        <v>26</v>
      </c>
      <c r="M19" s="15" t="s">
        <v>161</v>
      </c>
      <c r="N19" s="15" t="s">
        <v>163</v>
      </c>
      <c r="O19" s="15">
        <v>42</v>
      </c>
      <c r="P19">
        <v>2</v>
      </c>
      <c r="Q19" s="12">
        <v>1266</v>
      </c>
      <c r="R19" s="12">
        <v>2320</v>
      </c>
      <c r="S19" s="12">
        <v>2108</v>
      </c>
      <c r="T19" s="12">
        <f t="shared" si="0"/>
        <v>2532</v>
      </c>
      <c r="U19" s="12">
        <f t="shared" si="1"/>
        <v>4640</v>
      </c>
    </row>
    <row r="20" spans="1:21">
      <c r="A20" s="5" t="s">
        <v>68</v>
      </c>
      <c r="B20" s="6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169</v>
      </c>
      <c r="I20" t="s">
        <v>37</v>
      </c>
      <c r="J20" t="s">
        <v>38</v>
      </c>
      <c r="K20" t="s">
        <v>25</v>
      </c>
      <c r="L20" t="s">
        <v>26</v>
      </c>
      <c r="M20" s="15" t="s">
        <v>165</v>
      </c>
      <c r="N20" s="15" t="s">
        <v>163</v>
      </c>
      <c r="O20" s="15">
        <v>42</v>
      </c>
      <c r="P20">
        <v>4</v>
      </c>
      <c r="Q20" s="12">
        <v>308</v>
      </c>
      <c r="R20" s="12">
        <v>565</v>
      </c>
      <c r="S20" s="12">
        <v>1028</v>
      </c>
      <c r="T20" s="12">
        <f t="shared" si="0"/>
        <v>1232</v>
      </c>
      <c r="U20" s="12">
        <f t="shared" si="1"/>
        <v>2260</v>
      </c>
    </row>
    <row r="21" spans="1:21">
      <c r="A21" s="5" t="s">
        <v>70</v>
      </c>
      <c r="B21" s="6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169</v>
      </c>
      <c r="I21" t="s">
        <v>59</v>
      </c>
      <c r="J21" t="s">
        <v>60</v>
      </c>
      <c r="K21" t="s">
        <v>25</v>
      </c>
      <c r="L21" t="s">
        <v>26</v>
      </c>
      <c r="M21" s="15" t="s">
        <v>161</v>
      </c>
      <c r="N21" s="15" t="s">
        <v>163</v>
      </c>
      <c r="O21" s="15">
        <v>38</v>
      </c>
      <c r="P21">
        <v>4</v>
      </c>
      <c r="Q21" s="12">
        <v>1266</v>
      </c>
      <c r="R21" s="12">
        <v>2320</v>
      </c>
      <c r="S21" s="12">
        <v>4216</v>
      </c>
      <c r="T21" s="12">
        <f t="shared" si="0"/>
        <v>5064</v>
      </c>
      <c r="U21" s="12">
        <f t="shared" si="1"/>
        <v>9280</v>
      </c>
    </row>
    <row r="22" spans="1:21">
      <c r="A22" s="5" t="s">
        <v>71</v>
      </c>
      <c r="B22" s="6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169</v>
      </c>
      <c r="I22" t="s">
        <v>23</v>
      </c>
      <c r="J22" t="s">
        <v>72</v>
      </c>
      <c r="K22" t="s">
        <v>25</v>
      </c>
      <c r="L22" t="s">
        <v>26</v>
      </c>
      <c r="M22" s="15" t="s">
        <v>161</v>
      </c>
      <c r="N22" s="15" t="s">
        <v>162</v>
      </c>
      <c r="O22" s="15">
        <v>42</v>
      </c>
      <c r="P22">
        <v>2</v>
      </c>
      <c r="Q22" s="12">
        <v>1252</v>
      </c>
      <c r="R22" s="12">
        <v>2295</v>
      </c>
      <c r="S22" s="12">
        <v>2086</v>
      </c>
      <c r="T22" s="12">
        <f t="shared" si="0"/>
        <v>2504</v>
      </c>
      <c r="U22" s="12">
        <f t="shared" si="1"/>
        <v>4590</v>
      </c>
    </row>
    <row r="23" spans="1:21">
      <c r="A23" s="5" t="s">
        <v>73</v>
      </c>
      <c r="B23" s="6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169</v>
      </c>
      <c r="I23" t="s">
        <v>23</v>
      </c>
      <c r="J23" t="s">
        <v>24</v>
      </c>
      <c r="K23" t="s">
        <v>25</v>
      </c>
      <c r="L23" t="s">
        <v>26</v>
      </c>
      <c r="M23" s="15" t="s">
        <v>165</v>
      </c>
      <c r="N23" s="15" t="s">
        <v>162</v>
      </c>
      <c r="O23" s="15">
        <v>42</v>
      </c>
      <c r="P23">
        <v>4</v>
      </c>
      <c r="Q23" s="12">
        <v>295</v>
      </c>
      <c r="R23" s="12">
        <v>540</v>
      </c>
      <c r="S23" s="12">
        <v>245</v>
      </c>
      <c r="T23" s="12">
        <f t="shared" si="0"/>
        <v>1180</v>
      </c>
      <c r="U23" s="12">
        <f t="shared" si="1"/>
        <v>2160</v>
      </c>
    </row>
    <row r="24" spans="1:21">
      <c r="A24" s="5" t="s">
        <v>75</v>
      </c>
      <c r="B24" s="6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169</v>
      </c>
      <c r="I24" t="s">
        <v>37</v>
      </c>
      <c r="J24" t="s">
        <v>76</v>
      </c>
      <c r="K24" t="s">
        <v>25</v>
      </c>
      <c r="L24" t="s">
        <v>26</v>
      </c>
      <c r="M24" s="15" t="s">
        <v>166</v>
      </c>
      <c r="N24" s="15" t="s">
        <v>162</v>
      </c>
      <c r="O24" s="15">
        <v>38</v>
      </c>
      <c r="P24">
        <v>2</v>
      </c>
      <c r="Q24" s="12">
        <v>1898</v>
      </c>
      <c r="R24" s="12">
        <v>3375</v>
      </c>
      <c r="S24" s="12">
        <v>2954</v>
      </c>
      <c r="T24" s="12">
        <f t="shared" si="0"/>
        <v>3796</v>
      </c>
      <c r="U24" s="12">
        <f t="shared" si="1"/>
        <v>6750</v>
      </c>
    </row>
    <row r="25" spans="1:21">
      <c r="A25" s="5" t="s">
        <v>78</v>
      </c>
      <c r="B25" s="6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169</v>
      </c>
      <c r="I25" t="s">
        <v>51</v>
      </c>
      <c r="J25" t="s">
        <v>79</v>
      </c>
      <c r="K25" t="s">
        <v>25</v>
      </c>
      <c r="L25" t="s">
        <v>26</v>
      </c>
      <c r="M25" s="15" t="s">
        <v>161</v>
      </c>
      <c r="N25" s="15" t="s">
        <v>163</v>
      </c>
      <c r="O25" s="15">
        <v>42</v>
      </c>
      <c r="P25">
        <v>1</v>
      </c>
      <c r="Q25" s="12">
        <v>1266</v>
      </c>
      <c r="R25" s="12">
        <v>2320</v>
      </c>
      <c r="S25" s="12">
        <v>1054</v>
      </c>
      <c r="T25" s="12">
        <f t="shared" si="0"/>
        <v>1266</v>
      </c>
      <c r="U25" s="12">
        <f t="shared" si="1"/>
        <v>2320</v>
      </c>
    </row>
    <row r="26" spans="1:21">
      <c r="A26" s="5" t="s">
        <v>80</v>
      </c>
      <c r="B26" s="6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169</v>
      </c>
      <c r="I26" t="s">
        <v>23</v>
      </c>
      <c r="J26" t="s">
        <v>24</v>
      </c>
      <c r="K26" t="s">
        <v>25</v>
      </c>
      <c r="L26" t="s">
        <v>26</v>
      </c>
      <c r="M26" s="15" t="s">
        <v>161</v>
      </c>
      <c r="N26" s="15" t="s">
        <v>162</v>
      </c>
      <c r="O26" s="15">
        <v>42</v>
      </c>
      <c r="P26">
        <v>2</v>
      </c>
      <c r="Q26" s="12">
        <v>1252</v>
      </c>
      <c r="R26" s="12">
        <v>2295</v>
      </c>
      <c r="S26" s="12">
        <v>2086</v>
      </c>
      <c r="T26" s="12">
        <f t="shared" si="0"/>
        <v>2504</v>
      </c>
      <c r="U26" s="12">
        <f t="shared" si="1"/>
        <v>4590</v>
      </c>
    </row>
    <row r="27" spans="1:21">
      <c r="A27" s="5" t="s">
        <v>81</v>
      </c>
      <c r="B27" s="6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170</v>
      </c>
      <c r="I27" t="s">
        <v>37</v>
      </c>
      <c r="J27" t="s">
        <v>38</v>
      </c>
      <c r="K27" t="s">
        <v>25</v>
      </c>
      <c r="L27" t="s">
        <v>26</v>
      </c>
      <c r="M27" s="15" t="s">
        <v>161</v>
      </c>
      <c r="N27" s="15" t="s">
        <v>162</v>
      </c>
      <c r="O27" s="15">
        <v>42</v>
      </c>
      <c r="P27">
        <v>2</v>
      </c>
      <c r="Q27" s="12">
        <v>1252</v>
      </c>
      <c r="R27" s="12">
        <v>2295</v>
      </c>
      <c r="S27" s="12">
        <v>2086</v>
      </c>
      <c r="T27" s="12">
        <f t="shared" si="0"/>
        <v>2504</v>
      </c>
      <c r="U27" s="12">
        <f t="shared" si="1"/>
        <v>4590</v>
      </c>
    </row>
    <row r="28" spans="1:21">
      <c r="A28" s="5" t="s">
        <v>82</v>
      </c>
      <c r="B28" s="6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170</v>
      </c>
      <c r="I28" t="s">
        <v>29</v>
      </c>
      <c r="J28" t="s">
        <v>30</v>
      </c>
      <c r="K28" t="s">
        <v>25</v>
      </c>
      <c r="L28" t="s">
        <v>26</v>
      </c>
      <c r="M28" s="15" t="s">
        <v>161</v>
      </c>
      <c r="N28" s="15" t="s">
        <v>162</v>
      </c>
      <c r="O28" s="15">
        <v>38</v>
      </c>
      <c r="P28">
        <v>1</v>
      </c>
      <c r="Q28" s="12">
        <v>1252</v>
      </c>
      <c r="R28" s="12">
        <v>2295</v>
      </c>
      <c r="S28" s="12">
        <v>1043</v>
      </c>
      <c r="T28" s="12">
        <f t="shared" si="0"/>
        <v>1252</v>
      </c>
      <c r="U28" s="12">
        <f t="shared" si="1"/>
        <v>2295</v>
      </c>
    </row>
    <row r="29" spans="1:21">
      <c r="A29" s="5" t="s">
        <v>83</v>
      </c>
      <c r="B29" s="6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170</v>
      </c>
      <c r="I29" t="s">
        <v>23</v>
      </c>
      <c r="J29" t="s">
        <v>24</v>
      </c>
      <c r="K29" t="s">
        <v>25</v>
      </c>
      <c r="L29" t="s">
        <v>26</v>
      </c>
      <c r="M29" s="15" t="s">
        <v>165</v>
      </c>
      <c r="N29" s="15" t="s">
        <v>162</v>
      </c>
      <c r="O29" s="15">
        <v>40</v>
      </c>
      <c r="P29">
        <v>1</v>
      </c>
      <c r="Q29" s="12">
        <v>295</v>
      </c>
      <c r="R29" s="12">
        <v>540</v>
      </c>
      <c r="S29" s="12">
        <v>245</v>
      </c>
      <c r="T29" s="12">
        <f t="shared" si="0"/>
        <v>295</v>
      </c>
      <c r="U29" s="12">
        <f t="shared" si="1"/>
        <v>540</v>
      </c>
    </row>
    <row r="30" spans="1:21">
      <c r="A30" s="5" t="s">
        <v>85</v>
      </c>
      <c r="B30" s="6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169</v>
      </c>
      <c r="I30" t="s">
        <v>23</v>
      </c>
      <c r="J30" t="s">
        <v>47</v>
      </c>
      <c r="K30" t="s">
        <v>25</v>
      </c>
      <c r="L30" t="s">
        <v>26</v>
      </c>
      <c r="M30" s="15" t="s">
        <v>166</v>
      </c>
      <c r="N30" s="15" t="s">
        <v>163</v>
      </c>
      <c r="O30" s="15">
        <v>44</v>
      </c>
      <c r="P30">
        <v>1</v>
      </c>
      <c r="Q30" s="12">
        <v>1912</v>
      </c>
      <c r="R30" s="12">
        <v>3400</v>
      </c>
      <c r="S30" s="12">
        <v>1488</v>
      </c>
      <c r="T30" s="12">
        <f t="shared" si="0"/>
        <v>1912</v>
      </c>
      <c r="U30" s="12">
        <f t="shared" si="1"/>
        <v>3400</v>
      </c>
    </row>
    <row r="31" spans="1:21">
      <c r="A31" s="5" t="s">
        <v>87</v>
      </c>
      <c r="B31" s="6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170</v>
      </c>
      <c r="I31" t="s">
        <v>37</v>
      </c>
      <c r="J31" t="s">
        <v>38</v>
      </c>
      <c r="K31" t="s">
        <v>25</v>
      </c>
      <c r="L31" t="s">
        <v>26</v>
      </c>
      <c r="M31" s="15" t="s">
        <v>161</v>
      </c>
      <c r="N31" s="15" t="s">
        <v>162</v>
      </c>
      <c r="O31" s="15">
        <v>38</v>
      </c>
      <c r="P31">
        <v>1</v>
      </c>
      <c r="Q31" s="12">
        <v>1252</v>
      </c>
      <c r="R31" s="12">
        <v>2295</v>
      </c>
      <c r="S31" s="12">
        <v>1043</v>
      </c>
      <c r="T31" s="12">
        <f t="shared" si="0"/>
        <v>1252</v>
      </c>
      <c r="U31" s="12">
        <f t="shared" si="1"/>
        <v>2295</v>
      </c>
    </row>
    <row r="32" spans="1:21">
      <c r="A32" s="5" t="s">
        <v>88</v>
      </c>
      <c r="B32" s="6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169</v>
      </c>
      <c r="I32" t="s">
        <v>89</v>
      </c>
      <c r="J32" t="s">
        <v>90</v>
      </c>
      <c r="K32" t="s">
        <v>25</v>
      </c>
      <c r="L32" t="s">
        <v>26</v>
      </c>
      <c r="M32" s="15" t="s">
        <v>161</v>
      </c>
      <c r="N32" s="15" t="s">
        <v>162</v>
      </c>
      <c r="O32" s="15">
        <v>38</v>
      </c>
      <c r="P32">
        <v>3</v>
      </c>
      <c r="Q32" s="12">
        <v>1252</v>
      </c>
      <c r="R32" s="12">
        <v>2295</v>
      </c>
      <c r="S32" s="12">
        <v>3129</v>
      </c>
      <c r="T32" s="12">
        <f t="shared" si="0"/>
        <v>3756</v>
      </c>
      <c r="U32" s="12">
        <f t="shared" si="1"/>
        <v>6885</v>
      </c>
    </row>
    <row r="33" spans="1:21">
      <c r="A33" s="5" t="s">
        <v>91</v>
      </c>
      <c r="B33" s="6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169</v>
      </c>
      <c r="I33" t="s">
        <v>37</v>
      </c>
      <c r="J33" t="s">
        <v>38</v>
      </c>
      <c r="K33" t="s">
        <v>25</v>
      </c>
      <c r="L33" t="s">
        <v>26</v>
      </c>
      <c r="M33" s="15" t="s">
        <v>164</v>
      </c>
      <c r="N33" s="15" t="s">
        <v>163</v>
      </c>
      <c r="O33" s="15">
        <v>38</v>
      </c>
      <c r="P33">
        <v>2</v>
      </c>
      <c r="Q33" s="12">
        <v>420</v>
      </c>
      <c r="R33" s="12">
        <v>769</v>
      </c>
      <c r="S33" s="12">
        <v>698</v>
      </c>
      <c r="T33" s="12">
        <f t="shared" si="0"/>
        <v>840</v>
      </c>
      <c r="U33" s="12">
        <f t="shared" si="1"/>
        <v>1538</v>
      </c>
    </row>
    <row r="34" spans="1:21">
      <c r="A34" s="5" t="s">
        <v>92</v>
      </c>
      <c r="B34" s="6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170</v>
      </c>
      <c r="I34" t="s">
        <v>59</v>
      </c>
      <c r="J34" t="s">
        <v>60</v>
      </c>
      <c r="K34" t="s">
        <v>25</v>
      </c>
      <c r="L34" t="s">
        <v>26</v>
      </c>
      <c r="M34" s="15" t="s">
        <v>161</v>
      </c>
      <c r="N34" s="15" t="s">
        <v>162</v>
      </c>
      <c r="O34" s="15">
        <v>46</v>
      </c>
      <c r="P34">
        <v>1</v>
      </c>
      <c r="Q34" s="12">
        <v>1252</v>
      </c>
      <c r="R34" s="12">
        <v>2295</v>
      </c>
      <c r="S34" s="12">
        <v>1043</v>
      </c>
      <c r="T34" s="12">
        <f t="shared" ref="T34:T65" si="2">P34*Q34</f>
        <v>1252</v>
      </c>
      <c r="U34" s="12">
        <f t="shared" ref="U34:U65" si="3">P34*R34</f>
        <v>2295</v>
      </c>
    </row>
    <row r="35" spans="1:21">
      <c r="A35" s="5" t="s">
        <v>93</v>
      </c>
      <c r="B35" s="6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170</v>
      </c>
      <c r="I35" t="s">
        <v>23</v>
      </c>
      <c r="J35" t="s">
        <v>24</v>
      </c>
      <c r="K35" t="s">
        <v>25</v>
      </c>
      <c r="L35" t="s">
        <v>26</v>
      </c>
      <c r="M35" s="15" t="s">
        <v>164</v>
      </c>
      <c r="N35" s="15" t="s">
        <v>163</v>
      </c>
      <c r="O35" s="15">
        <v>46</v>
      </c>
      <c r="P35">
        <v>1</v>
      </c>
      <c r="Q35" s="12">
        <v>420</v>
      </c>
      <c r="R35" s="12">
        <v>769</v>
      </c>
      <c r="S35" s="12">
        <v>349</v>
      </c>
      <c r="T35" s="12">
        <f t="shared" si="2"/>
        <v>420</v>
      </c>
      <c r="U35" s="12">
        <f t="shared" si="3"/>
        <v>769</v>
      </c>
    </row>
    <row r="36" spans="1:21">
      <c r="A36" s="5" t="s">
        <v>94</v>
      </c>
      <c r="B36" s="6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169</v>
      </c>
      <c r="I36" t="s">
        <v>23</v>
      </c>
      <c r="J36" t="s">
        <v>24</v>
      </c>
      <c r="K36" t="s">
        <v>25</v>
      </c>
      <c r="L36" t="s">
        <v>26</v>
      </c>
      <c r="M36" s="15" t="s">
        <v>161</v>
      </c>
      <c r="N36" s="15" t="s">
        <v>163</v>
      </c>
      <c r="O36" s="15">
        <v>38</v>
      </c>
      <c r="P36">
        <v>1</v>
      </c>
      <c r="Q36" s="12">
        <v>1266</v>
      </c>
      <c r="R36" s="12">
        <v>2320</v>
      </c>
      <c r="S36" s="12">
        <v>1054</v>
      </c>
      <c r="T36" s="12">
        <f t="shared" si="2"/>
        <v>1266</v>
      </c>
      <c r="U36" s="12">
        <f t="shared" si="3"/>
        <v>2320</v>
      </c>
    </row>
    <row r="37" spans="1:21">
      <c r="A37" s="5" t="s">
        <v>95</v>
      </c>
      <c r="B37" s="6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169</v>
      </c>
      <c r="I37" t="s">
        <v>37</v>
      </c>
      <c r="J37" t="s">
        <v>38</v>
      </c>
      <c r="K37" t="s">
        <v>25</v>
      </c>
      <c r="L37" t="s">
        <v>26</v>
      </c>
      <c r="M37" s="15" t="s">
        <v>161</v>
      </c>
      <c r="N37" s="15" t="s">
        <v>163</v>
      </c>
      <c r="O37" s="15">
        <v>42</v>
      </c>
      <c r="P37">
        <v>4</v>
      </c>
      <c r="Q37" s="12">
        <v>1266</v>
      </c>
      <c r="R37" s="12">
        <v>2320</v>
      </c>
      <c r="S37" s="12">
        <v>4216</v>
      </c>
      <c r="T37" s="12">
        <f t="shared" si="2"/>
        <v>5064</v>
      </c>
      <c r="U37" s="12">
        <f t="shared" si="3"/>
        <v>9280</v>
      </c>
    </row>
    <row r="38" spans="1:21">
      <c r="A38" s="5" t="s">
        <v>96</v>
      </c>
      <c r="B38" s="6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170</v>
      </c>
      <c r="I38" t="s">
        <v>23</v>
      </c>
      <c r="J38" t="s">
        <v>24</v>
      </c>
      <c r="K38" t="s">
        <v>25</v>
      </c>
      <c r="L38" t="s">
        <v>26</v>
      </c>
      <c r="M38" s="15" t="s">
        <v>164</v>
      </c>
      <c r="N38" s="15" t="s">
        <v>163</v>
      </c>
      <c r="O38" s="15">
        <v>46</v>
      </c>
      <c r="P38">
        <v>4</v>
      </c>
      <c r="Q38" s="12">
        <v>420</v>
      </c>
      <c r="R38" s="12">
        <v>769</v>
      </c>
      <c r="S38" s="12">
        <v>1396</v>
      </c>
      <c r="T38" s="12">
        <f t="shared" si="2"/>
        <v>1680</v>
      </c>
      <c r="U38" s="12">
        <f t="shared" si="3"/>
        <v>3076</v>
      </c>
    </row>
    <row r="39" spans="1:21">
      <c r="A39" s="5" t="s">
        <v>97</v>
      </c>
      <c r="B39" s="6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170</v>
      </c>
      <c r="I39" t="s">
        <v>37</v>
      </c>
      <c r="J39" t="s">
        <v>38</v>
      </c>
      <c r="K39" t="s">
        <v>25</v>
      </c>
      <c r="L39" t="s">
        <v>26</v>
      </c>
      <c r="M39" s="15" t="s">
        <v>161</v>
      </c>
      <c r="N39" s="15" t="s">
        <v>162</v>
      </c>
      <c r="O39" s="15">
        <v>38</v>
      </c>
      <c r="P39">
        <v>2</v>
      </c>
      <c r="Q39" s="12">
        <v>1252</v>
      </c>
      <c r="R39" s="12">
        <v>2295</v>
      </c>
      <c r="S39" s="12">
        <v>2086</v>
      </c>
      <c r="T39" s="12">
        <f t="shared" si="2"/>
        <v>2504</v>
      </c>
      <c r="U39" s="12">
        <f t="shared" si="3"/>
        <v>4590</v>
      </c>
    </row>
    <row r="40" spans="1:21">
      <c r="A40" s="5" t="s">
        <v>98</v>
      </c>
      <c r="B40" s="6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169</v>
      </c>
      <c r="I40" t="s">
        <v>37</v>
      </c>
      <c r="J40" t="s">
        <v>76</v>
      </c>
      <c r="K40" t="s">
        <v>25</v>
      </c>
      <c r="L40" t="s">
        <v>26</v>
      </c>
      <c r="M40" s="15" t="s">
        <v>161</v>
      </c>
      <c r="N40" s="15" t="s">
        <v>163</v>
      </c>
      <c r="O40" s="15">
        <v>42</v>
      </c>
      <c r="P40">
        <v>1</v>
      </c>
      <c r="Q40" s="12">
        <v>1266</v>
      </c>
      <c r="R40" s="12">
        <v>2320</v>
      </c>
      <c r="S40" s="12">
        <v>1054</v>
      </c>
      <c r="T40" s="12">
        <f t="shared" si="2"/>
        <v>1266</v>
      </c>
      <c r="U40" s="12">
        <f t="shared" si="3"/>
        <v>2320</v>
      </c>
    </row>
    <row r="41" spans="1:21">
      <c r="A41" s="5" t="s">
        <v>99</v>
      </c>
      <c r="B41" s="6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169</v>
      </c>
      <c r="I41" t="s">
        <v>23</v>
      </c>
      <c r="J41" t="s">
        <v>47</v>
      </c>
      <c r="K41" t="s">
        <v>25</v>
      </c>
      <c r="L41" t="s">
        <v>26</v>
      </c>
      <c r="M41" s="15" t="s">
        <v>161</v>
      </c>
      <c r="N41" s="15" t="s">
        <v>163</v>
      </c>
      <c r="O41" s="15">
        <v>42</v>
      </c>
      <c r="P41">
        <v>1</v>
      </c>
      <c r="Q41" s="12">
        <v>1266</v>
      </c>
      <c r="R41" s="12">
        <v>2320</v>
      </c>
      <c r="S41" s="12">
        <v>1054</v>
      </c>
      <c r="T41" s="12">
        <f t="shared" si="2"/>
        <v>1266</v>
      </c>
      <c r="U41" s="12">
        <f t="shared" si="3"/>
        <v>2320</v>
      </c>
    </row>
    <row r="42" spans="1:21">
      <c r="A42" s="5" t="s">
        <v>100</v>
      </c>
      <c r="B42" s="6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169</v>
      </c>
      <c r="I42" t="s">
        <v>37</v>
      </c>
      <c r="J42" t="s">
        <v>54</v>
      </c>
      <c r="K42" t="s">
        <v>25</v>
      </c>
      <c r="L42" t="s">
        <v>26</v>
      </c>
      <c r="M42" s="15" t="s">
        <v>161</v>
      </c>
      <c r="N42" s="15" t="s">
        <v>163</v>
      </c>
      <c r="O42" s="15">
        <v>42</v>
      </c>
      <c r="P42">
        <v>3</v>
      </c>
      <c r="Q42" s="12">
        <v>1266</v>
      </c>
      <c r="R42" s="12">
        <v>2320</v>
      </c>
      <c r="S42" s="12">
        <v>3162</v>
      </c>
      <c r="T42" s="12">
        <f t="shared" si="2"/>
        <v>3798</v>
      </c>
      <c r="U42" s="12">
        <f t="shared" si="3"/>
        <v>6960</v>
      </c>
    </row>
    <row r="43" spans="1:21">
      <c r="A43" s="5" t="s">
        <v>101</v>
      </c>
      <c r="B43" s="6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169</v>
      </c>
      <c r="I43" t="s">
        <v>23</v>
      </c>
      <c r="J43" t="s">
        <v>24</v>
      </c>
      <c r="K43" t="s">
        <v>25</v>
      </c>
      <c r="L43" t="s">
        <v>26</v>
      </c>
      <c r="M43" s="15" t="s">
        <v>165</v>
      </c>
      <c r="N43" s="15" t="s">
        <v>163</v>
      </c>
      <c r="O43" s="15">
        <v>40</v>
      </c>
      <c r="P43">
        <v>1</v>
      </c>
      <c r="Q43" s="12">
        <v>308</v>
      </c>
      <c r="R43" s="12">
        <v>565</v>
      </c>
      <c r="S43" s="12">
        <v>257</v>
      </c>
      <c r="T43" s="12">
        <f t="shared" si="2"/>
        <v>308</v>
      </c>
      <c r="U43" s="12">
        <f t="shared" si="3"/>
        <v>565</v>
      </c>
    </row>
    <row r="44" spans="1:21">
      <c r="A44" s="5" t="s">
        <v>103</v>
      </c>
      <c r="B44" s="6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169</v>
      </c>
      <c r="I44" t="s">
        <v>29</v>
      </c>
      <c r="J44" t="s">
        <v>30</v>
      </c>
      <c r="K44" t="s">
        <v>25</v>
      </c>
      <c r="L44" t="s">
        <v>26</v>
      </c>
      <c r="M44" s="15" t="s">
        <v>161</v>
      </c>
      <c r="N44" s="15" t="s">
        <v>162</v>
      </c>
      <c r="O44" s="15">
        <v>38</v>
      </c>
      <c r="P44">
        <v>1</v>
      </c>
      <c r="Q44" s="12">
        <v>1252</v>
      </c>
      <c r="R44" s="12">
        <v>2295</v>
      </c>
      <c r="S44" s="12">
        <v>1043</v>
      </c>
      <c r="T44" s="12">
        <f t="shared" si="2"/>
        <v>1252</v>
      </c>
      <c r="U44" s="12">
        <f t="shared" si="3"/>
        <v>2295</v>
      </c>
    </row>
    <row r="45" spans="1:21">
      <c r="A45" s="5" t="s">
        <v>104</v>
      </c>
      <c r="B45" s="6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170</v>
      </c>
      <c r="I45" t="s">
        <v>29</v>
      </c>
      <c r="J45" t="s">
        <v>30</v>
      </c>
      <c r="K45" t="s">
        <v>25</v>
      </c>
      <c r="L45" t="s">
        <v>26</v>
      </c>
      <c r="M45" s="15" t="s">
        <v>161</v>
      </c>
      <c r="N45" s="15" t="s">
        <v>162</v>
      </c>
      <c r="O45" s="15">
        <v>38</v>
      </c>
      <c r="P45">
        <v>1</v>
      </c>
      <c r="Q45" s="12">
        <v>1252</v>
      </c>
      <c r="R45" s="12">
        <v>2295</v>
      </c>
      <c r="S45" s="12">
        <v>1043</v>
      </c>
      <c r="T45" s="12">
        <f t="shared" si="2"/>
        <v>1252</v>
      </c>
      <c r="U45" s="12">
        <f t="shared" si="3"/>
        <v>2295</v>
      </c>
    </row>
    <row r="46" spans="1:21">
      <c r="A46" s="5" t="s">
        <v>105</v>
      </c>
      <c r="B46" s="6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169</v>
      </c>
      <c r="I46" t="s">
        <v>23</v>
      </c>
      <c r="J46" t="s">
        <v>47</v>
      </c>
      <c r="K46" t="s">
        <v>25</v>
      </c>
      <c r="L46" t="s">
        <v>26</v>
      </c>
      <c r="M46" s="15" t="s">
        <v>161</v>
      </c>
      <c r="N46" s="15" t="s">
        <v>163</v>
      </c>
      <c r="O46" s="15">
        <v>38</v>
      </c>
      <c r="P46">
        <v>2</v>
      </c>
      <c r="Q46" s="12">
        <v>1266</v>
      </c>
      <c r="R46" s="12">
        <v>2320</v>
      </c>
      <c r="S46" s="12">
        <v>2108</v>
      </c>
      <c r="T46" s="12">
        <f t="shared" si="2"/>
        <v>2532</v>
      </c>
      <c r="U46" s="12">
        <f t="shared" si="3"/>
        <v>4640</v>
      </c>
    </row>
    <row r="47" spans="1:21">
      <c r="A47" s="5" t="s">
        <v>106</v>
      </c>
      <c r="B47" s="6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170</v>
      </c>
      <c r="I47" t="s">
        <v>23</v>
      </c>
      <c r="J47" t="s">
        <v>24</v>
      </c>
      <c r="K47" t="s">
        <v>25</v>
      </c>
      <c r="L47" t="s">
        <v>26</v>
      </c>
      <c r="M47" s="15" t="s">
        <v>161</v>
      </c>
      <c r="N47" s="15" t="s">
        <v>162</v>
      </c>
      <c r="O47" s="15">
        <v>46</v>
      </c>
      <c r="P47">
        <v>1</v>
      </c>
      <c r="Q47" s="12">
        <v>1252</v>
      </c>
      <c r="R47" s="12">
        <v>2295</v>
      </c>
      <c r="S47" s="12">
        <v>1043</v>
      </c>
      <c r="T47" s="12">
        <f t="shared" si="2"/>
        <v>1252</v>
      </c>
      <c r="U47" s="12">
        <f t="shared" si="3"/>
        <v>2295</v>
      </c>
    </row>
    <row r="48" spans="1:21">
      <c r="A48" s="5" t="s">
        <v>107</v>
      </c>
      <c r="B48" s="6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169</v>
      </c>
      <c r="I48" t="s">
        <v>37</v>
      </c>
      <c r="J48" t="s">
        <v>76</v>
      </c>
      <c r="K48" t="s">
        <v>25</v>
      </c>
      <c r="L48" t="s">
        <v>26</v>
      </c>
      <c r="M48" s="15" t="s">
        <v>164</v>
      </c>
      <c r="N48" s="15" t="s">
        <v>163</v>
      </c>
      <c r="O48" s="15">
        <v>46</v>
      </c>
      <c r="P48">
        <v>1</v>
      </c>
      <c r="Q48" s="12">
        <v>420</v>
      </c>
      <c r="R48" s="12">
        <v>769</v>
      </c>
      <c r="S48" s="12">
        <v>349</v>
      </c>
      <c r="T48" s="12">
        <f t="shared" si="2"/>
        <v>420</v>
      </c>
      <c r="U48" s="12">
        <f t="shared" si="3"/>
        <v>769</v>
      </c>
    </row>
    <row r="49" spans="1:21">
      <c r="A49" s="5" t="s">
        <v>108</v>
      </c>
      <c r="B49" s="6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169</v>
      </c>
      <c r="I49" t="s">
        <v>23</v>
      </c>
      <c r="J49" t="s">
        <v>24</v>
      </c>
      <c r="K49" t="s">
        <v>25</v>
      </c>
      <c r="L49" t="s">
        <v>26</v>
      </c>
      <c r="M49" s="15" t="s">
        <v>161</v>
      </c>
      <c r="N49" s="15" t="s">
        <v>163</v>
      </c>
      <c r="O49" s="15">
        <v>42</v>
      </c>
      <c r="P49">
        <v>1</v>
      </c>
      <c r="Q49" s="12">
        <v>1266</v>
      </c>
      <c r="R49" s="12">
        <v>2320</v>
      </c>
      <c r="S49" s="12">
        <v>1054</v>
      </c>
      <c r="T49" s="12">
        <f t="shared" si="2"/>
        <v>1266</v>
      </c>
      <c r="U49" s="12">
        <f t="shared" si="3"/>
        <v>2320</v>
      </c>
    </row>
    <row r="50" spans="1:21">
      <c r="A50" s="5" t="s">
        <v>109</v>
      </c>
      <c r="B50" s="6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169</v>
      </c>
      <c r="I50" t="s">
        <v>37</v>
      </c>
      <c r="J50" t="s">
        <v>38</v>
      </c>
      <c r="K50" t="s">
        <v>25</v>
      </c>
      <c r="L50" t="s">
        <v>26</v>
      </c>
      <c r="M50" s="15" t="s">
        <v>161</v>
      </c>
      <c r="N50" s="15" t="s">
        <v>162</v>
      </c>
      <c r="O50" s="15">
        <v>38</v>
      </c>
      <c r="P50">
        <v>2</v>
      </c>
      <c r="Q50" s="12">
        <v>1252</v>
      </c>
      <c r="R50" s="12">
        <v>2295</v>
      </c>
      <c r="S50" s="12">
        <v>2086</v>
      </c>
      <c r="T50" s="12">
        <f t="shared" si="2"/>
        <v>2504</v>
      </c>
      <c r="U50" s="12">
        <f t="shared" si="3"/>
        <v>4590</v>
      </c>
    </row>
    <row r="51" spans="1:21">
      <c r="A51" s="5" t="s">
        <v>110</v>
      </c>
      <c r="B51" s="6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170</v>
      </c>
      <c r="I51" t="s">
        <v>37</v>
      </c>
      <c r="J51" t="s">
        <v>38</v>
      </c>
      <c r="K51" t="s">
        <v>25</v>
      </c>
      <c r="L51" t="s">
        <v>26</v>
      </c>
      <c r="M51" s="15" t="s">
        <v>161</v>
      </c>
      <c r="N51" s="15" t="s">
        <v>162</v>
      </c>
      <c r="O51" s="15">
        <v>38</v>
      </c>
      <c r="P51">
        <v>2</v>
      </c>
      <c r="Q51" s="12">
        <v>1252</v>
      </c>
      <c r="R51" s="12">
        <v>2295</v>
      </c>
      <c r="S51" s="12">
        <v>2086</v>
      </c>
      <c r="T51" s="12">
        <f t="shared" si="2"/>
        <v>2504</v>
      </c>
      <c r="U51" s="12">
        <f t="shared" si="3"/>
        <v>4590</v>
      </c>
    </row>
    <row r="52" spans="1:21">
      <c r="A52" s="5" t="s">
        <v>111</v>
      </c>
      <c r="B52" s="6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169</v>
      </c>
      <c r="I52" t="s">
        <v>89</v>
      </c>
      <c r="J52" t="s">
        <v>112</v>
      </c>
      <c r="K52" t="s">
        <v>25</v>
      </c>
      <c r="L52" t="s">
        <v>26</v>
      </c>
      <c r="M52" s="15" t="s">
        <v>161</v>
      </c>
      <c r="N52" s="15" t="s">
        <v>163</v>
      </c>
      <c r="O52" s="15">
        <v>46</v>
      </c>
      <c r="P52">
        <v>1</v>
      </c>
      <c r="Q52" s="12">
        <v>1266</v>
      </c>
      <c r="R52" s="12">
        <v>2320</v>
      </c>
      <c r="S52" s="12">
        <v>1054</v>
      </c>
      <c r="T52" s="12">
        <f t="shared" si="2"/>
        <v>1266</v>
      </c>
      <c r="U52" s="12">
        <f t="shared" si="3"/>
        <v>2320</v>
      </c>
    </row>
    <row r="53" spans="1:21">
      <c r="A53" s="5" t="s">
        <v>114</v>
      </c>
      <c r="B53" s="6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169</v>
      </c>
      <c r="I53" t="s">
        <v>23</v>
      </c>
      <c r="J53" t="s">
        <v>47</v>
      </c>
      <c r="K53" t="s">
        <v>25</v>
      </c>
      <c r="L53" t="s">
        <v>26</v>
      </c>
      <c r="M53" s="15" t="s">
        <v>161</v>
      </c>
      <c r="N53" s="15" t="s">
        <v>163</v>
      </c>
      <c r="O53" s="15">
        <v>38</v>
      </c>
      <c r="P53">
        <v>2</v>
      </c>
      <c r="Q53" s="12">
        <v>1266</v>
      </c>
      <c r="R53" s="12">
        <v>2320</v>
      </c>
      <c r="S53" s="12">
        <v>2108</v>
      </c>
      <c r="T53" s="12">
        <f t="shared" si="2"/>
        <v>2532</v>
      </c>
      <c r="U53" s="12">
        <f t="shared" si="3"/>
        <v>4640</v>
      </c>
    </row>
    <row r="54" spans="1:21">
      <c r="A54" s="5" t="s">
        <v>115</v>
      </c>
      <c r="B54" s="6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170</v>
      </c>
      <c r="I54" t="s">
        <v>37</v>
      </c>
      <c r="J54" t="s">
        <v>38</v>
      </c>
      <c r="K54" t="s">
        <v>25</v>
      </c>
      <c r="L54" t="s">
        <v>26</v>
      </c>
      <c r="M54" s="15" t="s">
        <v>164</v>
      </c>
      <c r="N54" s="15" t="s">
        <v>163</v>
      </c>
      <c r="O54" s="15">
        <v>42</v>
      </c>
      <c r="P54">
        <v>1</v>
      </c>
      <c r="Q54" s="12">
        <v>420</v>
      </c>
      <c r="R54" s="12">
        <v>769</v>
      </c>
      <c r="S54" s="12">
        <v>349</v>
      </c>
      <c r="T54" s="12">
        <f t="shared" si="2"/>
        <v>420</v>
      </c>
      <c r="U54" s="12">
        <f t="shared" si="3"/>
        <v>769</v>
      </c>
    </row>
    <row r="55" spans="1:21">
      <c r="A55" s="5" t="s">
        <v>116</v>
      </c>
      <c r="B55" s="6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169</v>
      </c>
      <c r="I55" t="s">
        <v>51</v>
      </c>
      <c r="J55" t="s">
        <v>52</v>
      </c>
      <c r="K55" t="s">
        <v>25</v>
      </c>
      <c r="L55" t="s">
        <v>26</v>
      </c>
      <c r="M55" s="15" t="s">
        <v>161</v>
      </c>
      <c r="N55" s="15" t="s">
        <v>163</v>
      </c>
      <c r="O55" s="15">
        <v>46</v>
      </c>
      <c r="P55">
        <v>1</v>
      </c>
      <c r="Q55" s="12">
        <v>1266</v>
      </c>
      <c r="R55" s="12">
        <v>2320</v>
      </c>
      <c r="S55" s="12">
        <v>1054</v>
      </c>
      <c r="T55" s="12">
        <f t="shared" si="2"/>
        <v>1266</v>
      </c>
      <c r="U55" s="12">
        <f t="shared" si="3"/>
        <v>2320</v>
      </c>
    </row>
    <row r="56" spans="1:21">
      <c r="A56" s="5" t="s">
        <v>117</v>
      </c>
      <c r="B56" s="6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169</v>
      </c>
      <c r="I56" t="s">
        <v>37</v>
      </c>
      <c r="J56" t="s">
        <v>38</v>
      </c>
      <c r="K56" t="s">
        <v>25</v>
      </c>
      <c r="L56" t="s">
        <v>26</v>
      </c>
      <c r="M56" s="15" t="s">
        <v>165</v>
      </c>
      <c r="N56" s="15" t="s">
        <v>163</v>
      </c>
      <c r="O56" s="15">
        <v>42</v>
      </c>
      <c r="P56">
        <v>4</v>
      </c>
      <c r="Q56" s="12">
        <v>308</v>
      </c>
      <c r="R56" s="12">
        <v>565</v>
      </c>
      <c r="S56" s="12">
        <v>1028</v>
      </c>
      <c r="T56" s="12">
        <f t="shared" si="2"/>
        <v>1232</v>
      </c>
      <c r="U56" s="12">
        <f t="shared" si="3"/>
        <v>2260</v>
      </c>
    </row>
    <row r="57" spans="1:21">
      <c r="A57" s="5" t="s">
        <v>118</v>
      </c>
      <c r="B57" s="6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169</v>
      </c>
      <c r="I57" t="s">
        <v>51</v>
      </c>
      <c r="J57" t="s">
        <v>52</v>
      </c>
      <c r="K57" t="s">
        <v>25</v>
      </c>
      <c r="L57" t="s">
        <v>26</v>
      </c>
      <c r="M57" s="15" t="s">
        <v>161</v>
      </c>
      <c r="N57" s="15" t="s">
        <v>163</v>
      </c>
      <c r="O57" s="15">
        <v>46</v>
      </c>
      <c r="P57">
        <v>4</v>
      </c>
      <c r="Q57" s="12">
        <v>1266</v>
      </c>
      <c r="R57" s="12">
        <v>2320</v>
      </c>
      <c r="S57" s="12">
        <v>4216</v>
      </c>
      <c r="T57" s="12">
        <f t="shared" si="2"/>
        <v>5064</v>
      </c>
      <c r="U57" s="12">
        <f t="shared" si="3"/>
        <v>9280</v>
      </c>
    </row>
    <row r="58" spans="1:21">
      <c r="A58" s="5" t="s">
        <v>119</v>
      </c>
      <c r="B58" s="6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169</v>
      </c>
      <c r="I58" t="s">
        <v>89</v>
      </c>
      <c r="J58" t="s">
        <v>120</v>
      </c>
      <c r="K58" t="s">
        <v>25</v>
      </c>
      <c r="L58" t="s">
        <v>26</v>
      </c>
      <c r="M58" s="15" t="s">
        <v>161</v>
      </c>
      <c r="N58" s="15" t="s">
        <v>163</v>
      </c>
      <c r="O58" s="15">
        <v>38</v>
      </c>
      <c r="P58">
        <v>3</v>
      </c>
      <c r="Q58" s="12">
        <v>1266</v>
      </c>
      <c r="R58" s="12">
        <v>2320</v>
      </c>
      <c r="S58" s="12">
        <v>3162</v>
      </c>
      <c r="T58" s="12">
        <f t="shared" si="2"/>
        <v>3798</v>
      </c>
      <c r="U58" s="12">
        <f t="shared" si="3"/>
        <v>6960</v>
      </c>
    </row>
    <row r="59" spans="1:21">
      <c r="A59" s="5" t="s">
        <v>121</v>
      </c>
      <c r="B59" s="6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169</v>
      </c>
      <c r="I59" t="s">
        <v>29</v>
      </c>
      <c r="J59" t="s">
        <v>30</v>
      </c>
      <c r="K59" t="s">
        <v>25</v>
      </c>
      <c r="L59" t="s">
        <v>26</v>
      </c>
      <c r="M59" s="15" t="s">
        <v>164</v>
      </c>
      <c r="N59" s="15" t="s">
        <v>163</v>
      </c>
      <c r="O59" s="15">
        <v>42</v>
      </c>
      <c r="P59">
        <v>3</v>
      </c>
      <c r="Q59" s="12">
        <v>420</v>
      </c>
      <c r="R59" s="12">
        <v>769</v>
      </c>
      <c r="S59" s="12">
        <v>1047</v>
      </c>
      <c r="T59" s="12">
        <f t="shared" si="2"/>
        <v>1260</v>
      </c>
      <c r="U59" s="12">
        <f t="shared" si="3"/>
        <v>2307</v>
      </c>
    </row>
    <row r="60" spans="1:21">
      <c r="A60" s="5" t="s">
        <v>122</v>
      </c>
      <c r="B60" s="6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170</v>
      </c>
      <c r="I60" t="s">
        <v>23</v>
      </c>
      <c r="J60" t="s">
        <v>24</v>
      </c>
      <c r="K60" t="s">
        <v>25</v>
      </c>
      <c r="L60" t="s">
        <v>26</v>
      </c>
      <c r="M60" s="15" t="s">
        <v>161</v>
      </c>
      <c r="N60" s="15" t="s">
        <v>162</v>
      </c>
      <c r="O60" s="15">
        <v>42</v>
      </c>
      <c r="P60">
        <v>3</v>
      </c>
      <c r="Q60" s="12">
        <v>1252</v>
      </c>
      <c r="R60" s="12">
        <v>2295</v>
      </c>
      <c r="S60" s="12">
        <v>3129</v>
      </c>
      <c r="T60" s="12">
        <f t="shared" si="2"/>
        <v>3756</v>
      </c>
      <c r="U60" s="12">
        <f t="shared" si="3"/>
        <v>6885</v>
      </c>
    </row>
    <row r="61" spans="1:21">
      <c r="A61" s="5" t="s">
        <v>123</v>
      </c>
      <c r="B61" s="6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170</v>
      </c>
      <c r="I61" t="s">
        <v>89</v>
      </c>
      <c r="J61" t="s">
        <v>90</v>
      </c>
      <c r="K61" t="s">
        <v>25</v>
      </c>
      <c r="L61" t="s">
        <v>26</v>
      </c>
      <c r="M61" s="15" t="s">
        <v>161</v>
      </c>
      <c r="N61" s="15" t="s">
        <v>162</v>
      </c>
      <c r="O61" s="15">
        <v>46</v>
      </c>
      <c r="P61">
        <v>1</v>
      </c>
      <c r="Q61" s="12">
        <v>1252</v>
      </c>
      <c r="R61" s="12">
        <v>2295</v>
      </c>
      <c r="S61" s="12">
        <v>1043</v>
      </c>
      <c r="T61" s="12">
        <f t="shared" si="2"/>
        <v>1252</v>
      </c>
      <c r="U61" s="12">
        <f t="shared" si="3"/>
        <v>2295</v>
      </c>
    </row>
    <row r="62" spans="1:21">
      <c r="A62" s="5" t="s">
        <v>124</v>
      </c>
      <c r="B62" s="6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170</v>
      </c>
      <c r="I62" t="s">
        <v>23</v>
      </c>
      <c r="J62" t="s">
        <v>47</v>
      </c>
      <c r="K62" t="s">
        <v>25</v>
      </c>
      <c r="L62" t="s">
        <v>26</v>
      </c>
      <c r="M62" s="15" t="s">
        <v>161</v>
      </c>
      <c r="N62" s="15" t="s">
        <v>163</v>
      </c>
      <c r="O62" s="15">
        <v>38</v>
      </c>
      <c r="P62">
        <v>1</v>
      </c>
      <c r="Q62" s="12">
        <v>1266</v>
      </c>
      <c r="R62" s="12">
        <v>2320</v>
      </c>
      <c r="S62" s="12">
        <v>1054</v>
      </c>
      <c r="T62" s="12">
        <f t="shared" si="2"/>
        <v>1266</v>
      </c>
      <c r="U62" s="12">
        <f t="shared" si="3"/>
        <v>2320</v>
      </c>
    </row>
    <row r="63" spans="1:21">
      <c r="A63" s="5" t="s">
        <v>125</v>
      </c>
      <c r="B63" s="6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170</v>
      </c>
      <c r="I63" t="s">
        <v>89</v>
      </c>
      <c r="J63" t="s">
        <v>126</v>
      </c>
      <c r="K63" t="s">
        <v>25</v>
      </c>
      <c r="L63" t="s">
        <v>26</v>
      </c>
      <c r="M63" s="15" t="s">
        <v>161</v>
      </c>
      <c r="N63" s="15" t="s">
        <v>163</v>
      </c>
      <c r="O63" s="15">
        <v>46</v>
      </c>
      <c r="P63">
        <v>4</v>
      </c>
      <c r="Q63" s="12">
        <v>1266</v>
      </c>
      <c r="R63" s="12">
        <v>2320</v>
      </c>
      <c r="S63" s="12">
        <v>4216</v>
      </c>
      <c r="T63" s="12">
        <f t="shared" si="2"/>
        <v>5064</v>
      </c>
      <c r="U63" s="12">
        <f t="shared" si="3"/>
        <v>9280</v>
      </c>
    </row>
    <row r="64" spans="1:21">
      <c r="A64" s="5" t="s">
        <v>127</v>
      </c>
      <c r="B64" s="6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169</v>
      </c>
      <c r="I64" t="s">
        <v>37</v>
      </c>
      <c r="J64" t="s">
        <v>76</v>
      </c>
      <c r="K64" t="s">
        <v>25</v>
      </c>
      <c r="L64" t="s">
        <v>26</v>
      </c>
      <c r="M64" s="15" t="s">
        <v>165</v>
      </c>
      <c r="N64" s="15" t="s">
        <v>162</v>
      </c>
      <c r="O64" s="15">
        <v>44</v>
      </c>
      <c r="P64">
        <v>4</v>
      </c>
      <c r="Q64" s="12">
        <v>295</v>
      </c>
      <c r="R64" s="12">
        <v>540</v>
      </c>
      <c r="S64" s="12">
        <v>980</v>
      </c>
      <c r="T64" s="12">
        <f t="shared" si="2"/>
        <v>1180</v>
      </c>
      <c r="U64" s="12">
        <f t="shared" si="3"/>
        <v>2160</v>
      </c>
    </row>
    <row r="65" spans="1:21">
      <c r="A65" s="5" t="s">
        <v>129</v>
      </c>
      <c r="B65" s="6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170</v>
      </c>
      <c r="I65" t="s">
        <v>89</v>
      </c>
      <c r="J65" t="s">
        <v>90</v>
      </c>
      <c r="K65" t="s">
        <v>25</v>
      </c>
      <c r="L65" t="s">
        <v>26</v>
      </c>
      <c r="M65" s="15" t="s">
        <v>161</v>
      </c>
      <c r="N65" s="15" t="s">
        <v>162</v>
      </c>
      <c r="O65" s="15">
        <v>38</v>
      </c>
      <c r="P65">
        <v>4</v>
      </c>
      <c r="Q65" s="12">
        <v>1252</v>
      </c>
      <c r="R65" s="12">
        <v>2295</v>
      </c>
      <c r="S65" s="12">
        <v>4172</v>
      </c>
      <c r="T65" s="12">
        <f t="shared" si="2"/>
        <v>5008</v>
      </c>
      <c r="U65" s="12">
        <f t="shared" si="3"/>
        <v>9180</v>
      </c>
    </row>
    <row r="66" spans="1:21">
      <c r="A66" s="5" t="s">
        <v>130</v>
      </c>
      <c r="B66" s="6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169</v>
      </c>
      <c r="I66" t="s">
        <v>23</v>
      </c>
      <c r="J66" t="s">
        <v>72</v>
      </c>
      <c r="K66" t="s">
        <v>25</v>
      </c>
      <c r="L66" t="s">
        <v>26</v>
      </c>
      <c r="M66" s="15" t="s">
        <v>166</v>
      </c>
      <c r="N66" s="15" t="s">
        <v>162</v>
      </c>
      <c r="O66" s="15">
        <v>48</v>
      </c>
      <c r="P66">
        <v>4</v>
      </c>
      <c r="Q66" s="12">
        <v>1898</v>
      </c>
      <c r="R66" s="12">
        <v>3375</v>
      </c>
      <c r="S66" s="12">
        <v>5908</v>
      </c>
      <c r="T66" s="12">
        <f t="shared" ref="T66:T89" si="4">P66*Q66</f>
        <v>7592</v>
      </c>
      <c r="U66" s="12">
        <f t="shared" ref="U66:U89" si="5">P66*R66</f>
        <v>13500</v>
      </c>
    </row>
    <row r="67" spans="1:21">
      <c r="A67" s="5" t="s">
        <v>132</v>
      </c>
      <c r="B67" s="6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170</v>
      </c>
      <c r="I67" t="s">
        <v>23</v>
      </c>
      <c r="J67" t="s">
        <v>72</v>
      </c>
      <c r="K67" t="s">
        <v>25</v>
      </c>
      <c r="L67" t="s">
        <v>26</v>
      </c>
      <c r="M67" s="15" t="s">
        <v>161</v>
      </c>
      <c r="N67" s="15" t="s">
        <v>162</v>
      </c>
      <c r="O67" s="15">
        <v>38</v>
      </c>
      <c r="P67">
        <v>4</v>
      </c>
      <c r="Q67" s="12">
        <v>1252</v>
      </c>
      <c r="R67" s="12">
        <v>2295</v>
      </c>
      <c r="S67" s="12">
        <v>4172</v>
      </c>
      <c r="T67" s="12">
        <f t="shared" si="4"/>
        <v>5008</v>
      </c>
      <c r="U67" s="12">
        <f t="shared" si="5"/>
        <v>9180</v>
      </c>
    </row>
    <row r="68" spans="1:21">
      <c r="A68" s="5" t="s">
        <v>133</v>
      </c>
      <c r="B68" s="6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169</v>
      </c>
      <c r="I68" t="s">
        <v>23</v>
      </c>
      <c r="J68" t="s">
        <v>24</v>
      </c>
      <c r="K68" t="s">
        <v>25</v>
      </c>
      <c r="L68" t="s">
        <v>26</v>
      </c>
      <c r="M68" s="15" t="s">
        <v>161</v>
      </c>
      <c r="N68" s="15" t="s">
        <v>162</v>
      </c>
      <c r="O68" s="15">
        <v>46</v>
      </c>
      <c r="P68">
        <v>4</v>
      </c>
      <c r="Q68" s="12">
        <v>1252</v>
      </c>
      <c r="R68" s="12">
        <v>2295</v>
      </c>
      <c r="S68" s="12">
        <v>4172</v>
      </c>
      <c r="T68" s="12">
        <f t="shared" si="4"/>
        <v>5008</v>
      </c>
      <c r="U68" s="12">
        <f t="shared" si="5"/>
        <v>9180</v>
      </c>
    </row>
    <row r="69" spans="1:21">
      <c r="A69" s="5" t="s">
        <v>134</v>
      </c>
      <c r="B69" s="6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169</v>
      </c>
      <c r="I69" t="s">
        <v>37</v>
      </c>
      <c r="J69" t="s">
        <v>54</v>
      </c>
      <c r="K69" t="s">
        <v>25</v>
      </c>
      <c r="L69" t="s">
        <v>26</v>
      </c>
      <c r="M69" s="15" t="s">
        <v>161</v>
      </c>
      <c r="N69" s="15" t="s">
        <v>162</v>
      </c>
      <c r="O69" s="15">
        <v>46</v>
      </c>
      <c r="P69">
        <v>4</v>
      </c>
      <c r="Q69" s="12">
        <v>1252</v>
      </c>
      <c r="R69" s="12">
        <v>2295</v>
      </c>
      <c r="S69" s="12">
        <v>4172</v>
      </c>
      <c r="T69" s="12">
        <f t="shared" si="4"/>
        <v>5008</v>
      </c>
      <c r="U69" s="12">
        <f t="shared" si="5"/>
        <v>9180</v>
      </c>
    </row>
    <row r="70" spans="1:21">
      <c r="A70" s="5" t="s">
        <v>135</v>
      </c>
      <c r="B70" s="6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170</v>
      </c>
      <c r="I70" t="s">
        <v>37</v>
      </c>
      <c r="J70" t="s">
        <v>136</v>
      </c>
      <c r="K70" t="s">
        <v>25</v>
      </c>
      <c r="L70" t="s">
        <v>26</v>
      </c>
      <c r="M70" s="15" t="s">
        <v>165</v>
      </c>
      <c r="N70" s="15" t="s">
        <v>162</v>
      </c>
      <c r="O70" s="15">
        <v>40</v>
      </c>
      <c r="P70">
        <v>2</v>
      </c>
      <c r="Q70" s="12">
        <v>295</v>
      </c>
      <c r="R70" s="12">
        <v>540</v>
      </c>
      <c r="S70" s="12">
        <v>490</v>
      </c>
      <c r="T70" s="12">
        <f t="shared" si="4"/>
        <v>590</v>
      </c>
      <c r="U70" s="12">
        <f t="shared" si="5"/>
        <v>1080</v>
      </c>
    </row>
    <row r="71" spans="1:21">
      <c r="A71" s="5" t="s">
        <v>137</v>
      </c>
      <c r="B71" s="6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169</v>
      </c>
      <c r="I71" t="s">
        <v>51</v>
      </c>
      <c r="J71" t="s">
        <v>138</v>
      </c>
      <c r="K71" t="s">
        <v>25</v>
      </c>
      <c r="L71" t="s">
        <v>26</v>
      </c>
      <c r="M71" s="15" t="s">
        <v>161</v>
      </c>
      <c r="N71" s="15" t="s">
        <v>162</v>
      </c>
      <c r="O71" s="15">
        <v>46</v>
      </c>
      <c r="P71">
        <v>2</v>
      </c>
      <c r="Q71" s="12">
        <v>1252</v>
      </c>
      <c r="R71" s="12">
        <v>2295</v>
      </c>
      <c r="S71" s="12">
        <v>2086</v>
      </c>
      <c r="T71" s="12">
        <f t="shared" si="4"/>
        <v>2504</v>
      </c>
      <c r="U71" s="12">
        <f t="shared" si="5"/>
        <v>4590</v>
      </c>
    </row>
    <row r="72" spans="1:21">
      <c r="A72" s="5" t="s">
        <v>139</v>
      </c>
      <c r="B72" s="6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169</v>
      </c>
      <c r="I72" t="s">
        <v>23</v>
      </c>
      <c r="J72" t="s">
        <v>47</v>
      </c>
      <c r="K72" t="s">
        <v>25</v>
      </c>
      <c r="L72" t="s">
        <v>26</v>
      </c>
      <c r="M72" s="15" t="s">
        <v>161</v>
      </c>
      <c r="N72" s="15" t="s">
        <v>163</v>
      </c>
      <c r="O72" s="15">
        <v>38</v>
      </c>
      <c r="P72">
        <v>1</v>
      </c>
      <c r="Q72" s="12">
        <v>1266</v>
      </c>
      <c r="R72" s="12">
        <v>2320</v>
      </c>
      <c r="S72" s="12">
        <v>1054</v>
      </c>
      <c r="T72" s="12">
        <f t="shared" si="4"/>
        <v>1266</v>
      </c>
      <c r="U72" s="12">
        <f t="shared" si="5"/>
        <v>2320</v>
      </c>
    </row>
    <row r="73" spans="1:21">
      <c r="A73" s="5" t="s">
        <v>140</v>
      </c>
      <c r="B73" s="6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169</v>
      </c>
      <c r="I73" t="s">
        <v>37</v>
      </c>
      <c r="J73" t="s">
        <v>76</v>
      </c>
      <c r="K73" t="s">
        <v>25</v>
      </c>
      <c r="L73" t="s">
        <v>26</v>
      </c>
      <c r="M73" s="15" t="s">
        <v>166</v>
      </c>
      <c r="N73" s="15" t="s">
        <v>162</v>
      </c>
      <c r="O73" s="15">
        <v>38</v>
      </c>
      <c r="P73">
        <v>4</v>
      </c>
      <c r="Q73" s="12">
        <v>1898</v>
      </c>
      <c r="R73" s="12">
        <v>3375</v>
      </c>
      <c r="S73" s="12">
        <v>5908</v>
      </c>
      <c r="T73" s="12">
        <f t="shared" si="4"/>
        <v>7592</v>
      </c>
      <c r="U73" s="12">
        <f t="shared" si="5"/>
        <v>13500</v>
      </c>
    </row>
    <row r="74" spans="1:21">
      <c r="A74" s="5" t="s">
        <v>141</v>
      </c>
      <c r="B74" s="6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170</v>
      </c>
      <c r="I74" t="s">
        <v>37</v>
      </c>
      <c r="J74" t="s">
        <v>54</v>
      </c>
      <c r="K74" t="s">
        <v>25</v>
      </c>
      <c r="L74" t="s">
        <v>26</v>
      </c>
      <c r="M74" s="15" t="s">
        <v>161</v>
      </c>
      <c r="N74" s="15" t="s">
        <v>162</v>
      </c>
      <c r="O74" s="15">
        <v>46</v>
      </c>
      <c r="P74">
        <v>4</v>
      </c>
      <c r="Q74" s="12">
        <v>1252</v>
      </c>
      <c r="R74" s="12">
        <v>2295</v>
      </c>
      <c r="S74" s="12">
        <v>4172</v>
      </c>
      <c r="T74" s="12">
        <f t="shared" si="4"/>
        <v>5008</v>
      </c>
      <c r="U74" s="12">
        <f t="shared" si="5"/>
        <v>9180</v>
      </c>
    </row>
    <row r="75" spans="1:21">
      <c r="A75" s="5" t="s">
        <v>142</v>
      </c>
      <c r="B75" s="6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170</v>
      </c>
      <c r="I75" t="s">
        <v>59</v>
      </c>
      <c r="J75" t="s">
        <v>60</v>
      </c>
      <c r="K75" t="s">
        <v>25</v>
      </c>
      <c r="L75" t="s">
        <v>26</v>
      </c>
      <c r="M75" s="15" t="s">
        <v>165</v>
      </c>
      <c r="N75" s="15" t="s">
        <v>162</v>
      </c>
      <c r="O75" s="15">
        <v>52</v>
      </c>
      <c r="P75">
        <v>3</v>
      </c>
      <c r="Q75" s="12">
        <v>295</v>
      </c>
      <c r="R75" s="12">
        <v>540</v>
      </c>
      <c r="S75" s="12">
        <v>735</v>
      </c>
      <c r="T75" s="12">
        <f t="shared" si="4"/>
        <v>885</v>
      </c>
      <c r="U75" s="12">
        <f t="shared" si="5"/>
        <v>1620</v>
      </c>
    </row>
    <row r="76" spans="1:21">
      <c r="A76" s="5" t="s">
        <v>144</v>
      </c>
      <c r="B76" s="6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169</v>
      </c>
      <c r="I76" t="s">
        <v>37</v>
      </c>
      <c r="J76" t="s">
        <v>54</v>
      </c>
      <c r="K76" t="s">
        <v>25</v>
      </c>
      <c r="L76" t="s">
        <v>26</v>
      </c>
      <c r="M76" s="15" t="s">
        <v>161</v>
      </c>
      <c r="N76" s="15" t="s">
        <v>163</v>
      </c>
      <c r="O76" s="15">
        <v>38</v>
      </c>
      <c r="P76">
        <v>1</v>
      </c>
      <c r="Q76" s="12">
        <v>1266</v>
      </c>
      <c r="R76" s="12">
        <v>2320</v>
      </c>
      <c r="S76" s="12">
        <v>1054</v>
      </c>
      <c r="T76" s="12">
        <f t="shared" si="4"/>
        <v>1266</v>
      </c>
      <c r="U76" s="12">
        <f t="shared" si="5"/>
        <v>2320</v>
      </c>
    </row>
    <row r="77" spans="1:21">
      <c r="A77" s="5" t="s">
        <v>145</v>
      </c>
      <c r="B77" s="6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170</v>
      </c>
      <c r="I77" t="s">
        <v>37</v>
      </c>
      <c r="J77" t="s">
        <v>76</v>
      </c>
      <c r="K77" t="s">
        <v>25</v>
      </c>
      <c r="L77" t="s">
        <v>26</v>
      </c>
      <c r="M77" s="15" t="s">
        <v>161</v>
      </c>
      <c r="N77" s="15" t="s">
        <v>163</v>
      </c>
      <c r="O77" s="15">
        <v>38</v>
      </c>
      <c r="P77">
        <v>1</v>
      </c>
      <c r="Q77" s="12">
        <v>1266</v>
      </c>
      <c r="R77" s="12">
        <v>2320</v>
      </c>
      <c r="S77" s="12">
        <v>1054</v>
      </c>
      <c r="T77" s="12">
        <f t="shared" si="4"/>
        <v>1266</v>
      </c>
      <c r="U77" s="12">
        <f t="shared" si="5"/>
        <v>2320</v>
      </c>
    </row>
    <row r="78" spans="1:21">
      <c r="A78" s="5" t="s">
        <v>146</v>
      </c>
      <c r="B78" s="6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170</v>
      </c>
      <c r="I78" t="s">
        <v>89</v>
      </c>
      <c r="J78" t="s">
        <v>147</v>
      </c>
      <c r="K78" t="s">
        <v>25</v>
      </c>
      <c r="L78" t="s">
        <v>26</v>
      </c>
      <c r="M78" s="15" t="s">
        <v>161</v>
      </c>
      <c r="N78" s="15" t="s">
        <v>163</v>
      </c>
      <c r="O78" s="15">
        <v>38</v>
      </c>
      <c r="P78">
        <v>3</v>
      </c>
      <c r="Q78" s="12">
        <v>1266</v>
      </c>
      <c r="R78" s="12">
        <v>2320</v>
      </c>
      <c r="S78" s="12">
        <v>3162</v>
      </c>
      <c r="T78" s="12">
        <f t="shared" si="4"/>
        <v>3798</v>
      </c>
      <c r="U78" s="12">
        <f t="shared" si="5"/>
        <v>6960</v>
      </c>
    </row>
    <row r="79" spans="1:21">
      <c r="A79" s="5" t="s">
        <v>148</v>
      </c>
      <c r="B79" s="6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170</v>
      </c>
      <c r="I79" t="s">
        <v>29</v>
      </c>
      <c r="J79" t="s">
        <v>30</v>
      </c>
      <c r="K79" t="s">
        <v>25</v>
      </c>
      <c r="L79" t="s">
        <v>26</v>
      </c>
      <c r="M79" s="15" t="s">
        <v>164</v>
      </c>
      <c r="N79" s="15" t="s">
        <v>163</v>
      </c>
      <c r="O79" s="15">
        <v>46</v>
      </c>
      <c r="P79">
        <v>2</v>
      </c>
      <c r="Q79" s="12">
        <v>420</v>
      </c>
      <c r="R79" s="12">
        <v>769</v>
      </c>
      <c r="S79" s="12">
        <v>698</v>
      </c>
      <c r="T79" s="12">
        <f t="shared" si="4"/>
        <v>840</v>
      </c>
      <c r="U79" s="12">
        <f t="shared" si="5"/>
        <v>1538</v>
      </c>
    </row>
    <row r="80" spans="1:21">
      <c r="A80" s="5" t="s">
        <v>149</v>
      </c>
      <c r="B80" s="6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169</v>
      </c>
      <c r="I80" t="s">
        <v>23</v>
      </c>
      <c r="J80" t="s">
        <v>47</v>
      </c>
      <c r="K80" t="s">
        <v>25</v>
      </c>
      <c r="L80" t="s">
        <v>26</v>
      </c>
      <c r="M80" s="15" t="s">
        <v>161</v>
      </c>
      <c r="N80" s="15" t="s">
        <v>163</v>
      </c>
      <c r="O80" s="15">
        <v>38</v>
      </c>
      <c r="P80">
        <v>3</v>
      </c>
      <c r="Q80" s="12">
        <v>1266</v>
      </c>
      <c r="R80" s="12">
        <v>2320</v>
      </c>
      <c r="S80" s="12">
        <v>3162</v>
      </c>
      <c r="T80" s="12">
        <f t="shared" si="4"/>
        <v>3798</v>
      </c>
      <c r="U80" s="12">
        <f t="shared" si="5"/>
        <v>6960</v>
      </c>
    </row>
    <row r="81" spans="1:21">
      <c r="A81" s="5" t="s">
        <v>150</v>
      </c>
      <c r="B81" s="6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170</v>
      </c>
      <c r="I81" t="s">
        <v>23</v>
      </c>
      <c r="J81" t="s">
        <v>24</v>
      </c>
      <c r="K81" t="s">
        <v>25</v>
      </c>
      <c r="L81" t="s">
        <v>26</v>
      </c>
      <c r="M81" s="15" t="s">
        <v>161</v>
      </c>
      <c r="N81" s="15" t="s">
        <v>162</v>
      </c>
      <c r="O81" s="15">
        <v>42</v>
      </c>
      <c r="P81">
        <v>3</v>
      </c>
      <c r="Q81" s="12">
        <v>1252</v>
      </c>
      <c r="R81" s="12">
        <v>2295</v>
      </c>
      <c r="S81" s="12">
        <v>3129</v>
      </c>
      <c r="T81" s="12">
        <f t="shared" si="4"/>
        <v>3756</v>
      </c>
      <c r="U81" s="12">
        <f t="shared" si="5"/>
        <v>6885</v>
      </c>
    </row>
    <row r="82" spans="1:21">
      <c r="A82" s="5" t="s">
        <v>151</v>
      </c>
      <c r="B82" s="6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169</v>
      </c>
      <c r="I82" t="s">
        <v>37</v>
      </c>
      <c r="J82" t="s">
        <v>38</v>
      </c>
      <c r="K82" t="s">
        <v>25</v>
      </c>
      <c r="L82" t="s">
        <v>26</v>
      </c>
      <c r="M82" s="15" t="s">
        <v>165</v>
      </c>
      <c r="N82" s="15" t="s">
        <v>163</v>
      </c>
      <c r="O82" s="15">
        <v>42</v>
      </c>
      <c r="P82">
        <v>1</v>
      </c>
      <c r="Q82" s="12">
        <v>308</v>
      </c>
      <c r="R82" s="12">
        <v>565</v>
      </c>
      <c r="S82" s="12">
        <v>257</v>
      </c>
      <c r="T82" s="12">
        <f t="shared" si="4"/>
        <v>308</v>
      </c>
      <c r="U82" s="12">
        <f t="shared" si="5"/>
        <v>565</v>
      </c>
    </row>
    <row r="83" spans="1:21">
      <c r="A83" s="5" t="s">
        <v>152</v>
      </c>
      <c r="B83" s="6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170</v>
      </c>
      <c r="I83" t="s">
        <v>89</v>
      </c>
      <c r="J83" t="s">
        <v>90</v>
      </c>
      <c r="K83" t="s">
        <v>25</v>
      </c>
      <c r="L83" t="s">
        <v>26</v>
      </c>
      <c r="M83" s="15" t="s">
        <v>161</v>
      </c>
      <c r="N83" s="15" t="s">
        <v>162</v>
      </c>
      <c r="O83" s="15">
        <v>38</v>
      </c>
      <c r="P83">
        <v>1</v>
      </c>
      <c r="Q83" s="12">
        <v>1252</v>
      </c>
      <c r="R83" s="12">
        <v>2295</v>
      </c>
      <c r="S83" s="12">
        <v>1043</v>
      </c>
      <c r="T83" s="12">
        <f t="shared" si="4"/>
        <v>1252</v>
      </c>
      <c r="U83" s="12">
        <f t="shared" si="5"/>
        <v>2295</v>
      </c>
    </row>
    <row r="84" spans="1:21">
      <c r="A84" s="5" t="s">
        <v>153</v>
      </c>
      <c r="B84" s="6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169</v>
      </c>
      <c r="I84" t="s">
        <v>59</v>
      </c>
      <c r="J84" t="s">
        <v>60</v>
      </c>
      <c r="K84" t="s">
        <v>25</v>
      </c>
      <c r="L84" t="s">
        <v>26</v>
      </c>
      <c r="M84" s="15" t="s">
        <v>161</v>
      </c>
      <c r="N84" s="15" t="s">
        <v>162</v>
      </c>
      <c r="O84" s="15">
        <v>46</v>
      </c>
      <c r="P84">
        <v>1</v>
      </c>
      <c r="Q84" s="12">
        <v>1252</v>
      </c>
      <c r="R84" s="12">
        <v>2295</v>
      </c>
      <c r="S84" s="12">
        <v>1043</v>
      </c>
      <c r="T84" s="12">
        <f t="shared" si="4"/>
        <v>1252</v>
      </c>
      <c r="U84" s="12">
        <f t="shared" si="5"/>
        <v>2295</v>
      </c>
    </row>
    <row r="85" spans="1:21">
      <c r="A85" s="5" t="s">
        <v>154</v>
      </c>
      <c r="B85" s="6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170</v>
      </c>
      <c r="I85" t="s">
        <v>51</v>
      </c>
      <c r="J85" t="s">
        <v>138</v>
      </c>
      <c r="K85" t="s">
        <v>25</v>
      </c>
      <c r="L85" t="s">
        <v>26</v>
      </c>
      <c r="M85" s="15" t="s">
        <v>161</v>
      </c>
      <c r="N85" s="15" t="s">
        <v>163</v>
      </c>
      <c r="O85" s="15">
        <v>38</v>
      </c>
      <c r="P85">
        <v>1</v>
      </c>
      <c r="Q85" s="12">
        <v>1266</v>
      </c>
      <c r="R85" s="12">
        <v>2320</v>
      </c>
      <c r="S85" s="12">
        <v>1054</v>
      </c>
      <c r="T85" s="12">
        <f t="shared" si="4"/>
        <v>1266</v>
      </c>
      <c r="U85" s="12">
        <f t="shared" si="5"/>
        <v>2320</v>
      </c>
    </row>
    <row r="86" spans="1:21">
      <c r="A86" s="5" t="s">
        <v>155</v>
      </c>
      <c r="B86" s="6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169</v>
      </c>
      <c r="I86" t="s">
        <v>23</v>
      </c>
      <c r="J86" t="s">
        <v>72</v>
      </c>
      <c r="K86" t="s">
        <v>25</v>
      </c>
      <c r="L86" t="s">
        <v>26</v>
      </c>
      <c r="M86" s="15" t="s">
        <v>161</v>
      </c>
      <c r="N86" s="15" t="s">
        <v>163</v>
      </c>
      <c r="O86" s="15">
        <v>42</v>
      </c>
      <c r="P86">
        <v>1</v>
      </c>
      <c r="Q86" s="12">
        <v>1266</v>
      </c>
      <c r="R86" s="12">
        <v>2320</v>
      </c>
      <c r="S86" s="12">
        <v>1054</v>
      </c>
      <c r="T86" s="12">
        <f t="shared" si="4"/>
        <v>1266</v>
      </c>
      <c r="U86" s="12">
        <f t="shared" si="5"/>
        <v>2320</v>
      </c>
    </row>
    <row r="87" spans="1:21">
      <c r="A87" s="5" t="s">
        <v>156</v>
      </c>
      <c r="B87" s="6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169</v>
      </c>
      <c r="I87" t="s">
        <v>59</v>
      </c>
      <c r="J87" t="s">
        <v>60</v>
      </c>
      <c r="K87" t="s">
        <v>25</v>
      </c>
      <c r="L87" t="s">
        <v>26</v>
      </c>
      <c r="M87" s="15" t="s">
        <v>161</v>
      </c>
      <c r="N87" s="15" t="s">
        <v>162</v>
      </c>
      <c r="O87" s="15">
        <v>42</v>
      </c>
      <c r="P87">
        <v>1</v>
      </c>
      <c r="Q87" s="12">
        <v>1252</v>
      </c>
      <c r="R87" s="12">
        <v>2295</v>
      </c>
      <c r="S87" s="12">
        <v>1043</v>
      </c>
      <c r="T87" s="12">
        <f t="shared" si="4"/>
        <v>1252</v>
      </c>
      <c r="U87" s="12">
        <f t="shared" si="5"/>
        <v>2295</v>
      </c>
    </row>
    <row r="88" spans="1:21">
      <c r="A88" s="5" t="s">
        <v>157</v>
      </c>
      <c r="B88" s="6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169</v>
      </c>
      <c r="I88" t="s">
        <v>23</v>
      </c>
      <c r="J88" t="s">
        <v>24</v>
      </c>
      <c r="K88" t="s">
        <v>25</v>
      </c>
      <c r="L88" t="s">
        <v>26</v>
      </c>
      <c r="M88" s="15" t="s">
        <v>165</v>
      </c>
      <c r="N88" s="15" t="s">
        <v>162</v>
      </c>
      <c r="O88" s="15">
        <v>42</v>
      </c>
      <c r="P88">
        <v>1</v>
      </c>
      <c r="Q88" s="12">
        <v>295</v>
      </c>
      <c r="R88" s="12">
        <v>540</v>
      </c>
      <c r="S88" s="12">
        <v>245</v>
      </c>
      <c r="T88" s="12">
        <f t="shared" si="4"/>
        <v>295</v>
      </c>
      <c r="U88" s="12">
        <f t="shared" si="5"/>
        <v>540</v>
      </c>
    </row>
    <row r="89" spans="1:21">
      <c r="A89" s="18" t="s">
        <v>158</v>
      </c>
      <c r="B89" s="6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170</v>
      </c>
      <c r="I89" t="s">
        <v>37</v>
      </c>
      <c r="J89" t="s">
        <v>54</v>
      </c>
      <c r="K89" t="s">
        <v>25</v>
      </c>
      <c r="L89" t="s">
        <v>26</v>
      </c>
      <c r="M89" s="15" t="s">
        <v>161</v>
      </c>
      <c r="N89" s="15" t="s">
        <v>162</v>
      </c>
      <c r="O89" s="15">
        <v>42</v>
      </c>
      <c r="P89">
        <v>4</v>
      </c>
      <c r="Q89" s="12">
        <v>1252</v>
      </c>
      <c r="R89" s="12">
        <v>2295</v>
      </c>
      <c r="S89" s="12">
        <v>4172</v>
      </c>
      <c r="T89" s="12">
        <f t="shared" si="4"/>
        <v>5008</v>
      </c>
      <c r="U89" s="12">
        <f t="shared" si="5"/>
        <v>9180</v>
      </c>
    </row>
    <row r="90" spans="1:21">
      <c r="M90"/>
      <c r="N90"/>
      <c r="O90"/>
    </row>
  </sheetData>
  <conditionalFormatting sqref="A1:A89 A91:A1048576">
    <cfRule type="duplicateValues" dxfId="2" priority="3"/>
  </conditionalFormatting>
  <conditionalFormatting sqref="H1:XFD89 H91:XFD1048576 A1:F89 V90:XFD90 A91:F1048576">
    <cfRule type="containsText" dxfId="1" priority="2" operator="containsText" text="blanks">
      <formula>NOT(ISERROR(SEARCH("blanks",A1)))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topLeftCell="B1" workbookViewId="0">
      <selection activeCell="A2" sqref="A2:A90"/>
    </sheetView>
  </sheetViews>
  <sheetFormatPr defaultColWidth="9" defaultRowHeight="14.4"/>
  <cols>
    <col min="1" max="1" width="13.33203125" customWidth="1"/>
    <col min="2" max="2" width="10.6640625" customWidth="1"/>
    <col min="4" max="4" width="10.109375" customWidth="1"/>
    <col min="7" max="7" width="19.6640625" style="3" customWidth="1"/>
    <col min="9" max="9" width="15.44140625" customWidth="1"/>
    <col min="10" max="10" width="19.88671875" customWidth="1"/>
    <col min="12" max="12" width="14.88671875" customWidth="1"/>
    <col min="13" max="13" width="25" customWidth="1"/>
    <col min="15" max="15" width="10.44140625" customWidth="1"/>
    <col min="16" max="16" width="11" customWidth="1"/>
    <col min="17" max="18" width="9.88671875" customWidth="1"/>
    <col min="19" max="19" width="10.88671875" customWidth="1"/>
  </cols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5" t="s">
        <v>19</v>
      </c>
      <c r="B2" s="6">
        <v>44531</v>
      </c>
      <c r="C2">
        <v>1</v>
      </c>
      <c r="D2" t="s">
        <v>20</v>
      </c>
      <c r="E2">
        <v>2021</v>
      </c>
      <c r="F2">
        <v>39</v>
      </c>
      <c r="G2" s="3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1" t="s">
        <v>27</v>
      </c>
      <c r="N2">
        <v>4</v>
      </c>
      <c r="O2" s="12">
        <v>1252</v>
      </c>
      <c r="P2" s="12">
        <v>2295</v>
      </c>
      <c r="Q2" s="12">
        <v>4172</v>
      </c>
      <c r="R2" s="12">
        <f t="shared" ref="R2:R33" si="0">N2*O2</f>
        <v>5008</v>
      </c>
      <c r="S2" s="12">
        <f t="shared" ref="S2:S33" si="1">N2*P2</f>
        <v>9180</v>
      </c>
    </row>
    <row r="3" spans="1:19">
      <c r="A3" s="5" t="s">
        <v>19</v>
      </c>
      <c r="B3" s="6">
        <v>44531</v>
      </c>
      <c r="C3">
        <v>1</v>
      </c>
      <c r="D3" t="s">
        <v>20</v>
      </c>
      <c r="E3">
        <v>2021</v>
      </c>
      <c r="F3">
        <v>44</v>
      </c>
      <c r="G3" s="3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11" t="s">
        <v>31</v>
      </c>
      <c r="N3">
        <v>1</v>
      </c>
      <c r="O3" s="12">
        <v>1266</v>
      </c>
      <c r="P3" s="12">
        <v>2320</v>
      </c>
      <c r="Q3" s="12">
        <v>1054</v>
      </c>
      <c r="R3" s="12">
        <f t="shared" si="0"/>
        <v>1266</v>
      </c>
      <c r="S3" s="12">
        <f t="shared" si="1"/>
        <v>2320</v>
      </c>
    </row>
    <row r="4" spans="1:19">
      <c r="A4" s="5" t="s">
        <v>32</v>
      </c>
      <c r="B4" s="6">
        <v>44532</v>
      </c>
      <c r="C4">
        <v>2</v>
      </c>
      <c r="D4" t="s">
        <v>20</v>
      </c>
      <c r="E4">
        <v>2021</v>
      </c>
      <c r="F4">
        <v>37</v>
      </c>
      <c r="G4" s="3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11" t="s">
        <v>34</v>
      </c>
      <c r="N4">
        <v>2</v>
      </c>
      <c r="O4" s="12">
        <v>420</v>
      </c>
      <c r="P4" s="12">
        <v>769</v>
      </c>
      <c r="Q4" s="12">
        <v>698</v>
      </c>
      <c r="R4" s="12">
        <f t="shared" si="0"/>
        <v>840</v>
      </c>
      <c r="S4" s="12">
        <f t="shared" si="1"/>
        <v>1538</v>
      </c>
    </row>
    <row r="5" spans="1:19">
      <c r="A5" s="5" t="s">
        <v>35</v>
      </c>
      <c r="B5" s="6">
        <v>44532</v>
      </c>
      <c r="C5">
        <v>2</v>
      </c>
      <c r="D5" t="s">
        <v>20</v>
      </c>
      <c r="E5">
        <v>2021</v>
      </c>
      <c r="F5">
        <v>31</v>
      </c>
      <c r="G5" s="3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11" t="s">
        <v>39</v>
      </c>
      <c r="N5">
        <v>1</v>
      </c>
      <c r="O5" s="12">
        <v>420</v>
      </c>
      <c r="P5" s="12">
        <v>769</v>
      </c>
      <c r="Q5" s="12">
        <v>349</v>
      </c>
      <c r="R5" s="12">
        <f t="shared" si="0"/>
        <v>420</v>
      </c>
      <c r="S5" s="12">
        <f t="shared" si="1"/>
        <v>769</v>
      </c>
    </row>
    <row r="6" spans="1:19">
      <c r="A6" s="5" t="s">
        <v>40</v>
      </c>
      <c r="B6" s="6">
        <v>44533</v>
      </c>
      <c r="C6">
        <v>3</v>
      </c>
      <c r="D6" t="s">
        <v>20</v>
      </c>
      <c r="E6">
        <v>2021</v>
      </c>
      <c r="F6">
        <v>37</v>
      </c>
      <c r="G6" s="3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11" t="s">
        <v>27</v>
      </c>
      <c r="N6">
        <v>2</v>
      </c>
      <c r="O6" s="12">
        <v>0</v>
      </c>
      <c r="P6" s="12">
        <v>2295</v>
      </c>
      <c r="Q6" s="12">
        <v>2086</v>
      </c>
      <c r="R6" s="12">
        <f t="shared" si="0"/>
        <v>0</v>
      </c>
      <c r="S6" s="12">
        <f t="shared" si="1"/>
        <v>4590</v>
      </c>
    </row>
    <row r="7" spans="1:19">
      <c r="A7" s="5" t="s">
        <v>42</v>
      </c>
      <c r="B7" s="6">
        <v>44533</v>
      </c>
      <c r="C7">
        <v>3</v>
      </c>
      <c r="D7" t="s">
        <v>20</v>
      </c>
      <c r="E7">
        <v>2021</v>
      </c>
      <c r="F7">
        <v>24</v>
      </c>
      <c r="G7" s="3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11" t="s">
        <v>44</v>
      </c>
      <c r="N7">
        <v>1</v>
      </c>
      <c r="O7" s="12">
        <v>1252</v>
      </c>
      <c r="P7" s="12">
        <v>2295</v>
      </c>
      <c r="Q7" s="12">
        <v>1043</v>
      </c>
      <c r="R7" s="12">
        <f t="shared" si="0"/>
        <v>1252</v>
      </c>
      <c r="S7" s="12">
        <f t="shared" si="1"/>
        <v>2295</v>
      </c>
    </row>
    <row r="8" spans="1:19">
      <c r="A8" s="5" t="s">
        <v>45</v>
      </c>
      <c r="B8" s="6">
        <v>44533</v>
      </c>
      <c r="C8">
        <v>3</v>
      </c>
      <c r="D8" t="s">
        <v>20</v>
      </c>
      <c r="E8">
        <v>2021</v>
      </c>
      <c r="F8">
        <v>37</v>
      </c>
      <c r="G8" s="3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11" t="s">
        <v>27</v>
      </c>
      <c r="N8">
        <v>1</v>
      </c>
      <c r="O8" s="12">
        <v>1252</v>
      </c>
      <c r="P8" s="12">
        <v>2295</v>
      </c>
      <c r="Q8" s="12">
        <v>1043</v>
      </c>
      <c r="R8" s="12">
        <f t="shared" si="0"/>
        <v>1252</v>
      </c>
      <c r="S8" s="12">
        <f t="shared" si="1"/>
        <v>2295</v>
      </c>
    </row>
    <row r="9" spans="1:19" s="2" customFormat="1">
      <c r="A9" s="7" t="s">
        <v>45</v>
      </c>
      <c r="B9" s="8">
        <v>44533</v>
      </c>
      <c r="C9" s="2">
        <v>3</v>
      </c>
      <c r="D9" s="2" t="s">
        <v>20</v>
      </c>
      <c r="E9" s="2">
        <v>2021</v>
      </c>
      <c r="F9" s="2">
        <v>37</v>
      </c>
      <c r="G9" s="9" t="s">
        <v>21</v>
      </c>
      <c r="H9" s="2" t="s">
        <v>28</v>
      </c>
      <c r="I9" s="2" t="s">
        <v>23</v>
      </c>
      <c r="J9" s="2" t="s">
        <v>47</v>
      </c>
      <c r="K9" s="2" t="s">
        <v>25</v>
      </c>
      <c r="L9" s="2" t="s">
        <v>26</v>
      </c>
      <c r="M9" s="13" t="s">
        <v>27</v>
      </c>
      <c r="N9" s="2">
        <v>1</v>
      </c>
      <c r="O9" s="14">
        <v>1252</v>
      </c>
      <c r="P9" s="14">
        <v>2295</v>
      </c>
      <c r="Q9" s="14">
        <v>1043</v>
      </c>
      <c r="R9" s="14">
        <f t="shared" si="0"/>
        <v>1252</v>
      </c>
      <c r="S9" s="14">
        <f t="shared" si="1"/>
        <v>2295</v>
      </c>
    </row>
    <row r="10" spans="1:19">
      <c r="A10" s="5" t="s">
        <v>48</v>
      </c>
      <c r="B10" s="6">
        <v>44534</v>
      </c>
      <c r="C10">
        <v>4</v>
      </c>
      <c r="D10" t="s">
        <v>20</v>
      </c>
      <c r="E10">
        <v>2021</v>
      </c>
      <c r="F10">
        <v>31</v>
      </c>
      <c r="G10" s="3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11" t="s">
        <v>39</v>
      </c>
      <c r="N10">
        <v>4</v>
      </c>
      <c r="O10" s="12">
        <v>420</v>
      </c>
      <c r="P10" s="12">
        <v>0</v>
      </c>
      <c r="Q10" s="12">
        <v>1396</v>
      </c>
      <c r="R10" s="12">
        <f t="shared" si="0"/>
        <v>1680</v>
      </c>
      <c r="S10" s="12">
        <f t="shared" si="1"/>
        <v>0</v>
      </c>
    </row>
    <row r="11" spans="1:19">
      <c r="A11" s="5" t="s">
        <v>49</v>
      </c>
      <c r="B11" s="6">
        <v>44535</v>
      </c>
      <c r="C11">
        <v>5</v>
      </c>
      <c r="D11" t="s">
        <v>20</v>
      </c>
      <c r="E11">
        <v>2021</v>
      </c>
      <c r="F11">
        <v>39</v>
      </c>
      <c r="G11" s="3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11" t="s">
        <v>27</v>
      </c>
      <c r="N11">
        <v>4</v>
      </c>
      <c r="O11" s="12">
        <v>1252</v>
      </c>
      <c r="P11" s="12">
        <v>2295</v>
      </c>
      <c r="Q11" s="12">
        <v>4172</v>
      </c>
      <c r="R11" s="12">
        <f t="shared" si="0"/>
        <v>5008</v>
      </c>
      <c r="S11" s="12">
        <f t="shared" si="1"/>
        <v>9180</v>
      </c>
    </row>
    <row r="12" spans="1:19">
      <c r="A12" s="5" t="s">
        <v>50</v>
      </c>
      <c r="B12" s="6">
        <v>44535</v>
      </c>
      <c r="D12" t="s">
        <v>20</v>
      </c>
      <c r="E12">
        <v>2021</v>
      </c>
      <c r="F12">
        <v>42</v>
      </c>
      <c r="G12" s="3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11" t="s">
        <v>44</v>
      </c>
      <c r="N12">
        <v>4</v>
      </c>
      <c r="O12" s="12">
        <v>1252</v>
      </c>
      <c r="P12" s="12">
        <v>2295</v>
      </c>
      <c r="Q12" s="12">
        <v>4172</v>
      </c>
      <c r="R12" s="12">
        <f t="shared" si="0"/>
        <v>5008</v>
      </c>
      <c r="S12" s="12">
        <f t="shared" si="1"/>
        <v>9180</v>
      </c>
    </row>
    <row r="13" spans="1:19">
      <c r="A13" s="5" t="s">
        <v>53</v>
      </c>
      <c r="B13" s="6">
        <v>44535</v>
      </c>
      <c r="C13">
        <v>5</v>
      </c>
      <c r="D13" t="s">
        <v>20</v>
      </c>
      <c r="E13">
        <v>2021</v>
      </c>
      <c r="F13">
        <v>35</v>
      </c>
      <c r="G13" s="3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11" t="s">
        <v>55</v>
      </c>
      <c r="N13">
        <v>1</v>
      </c>
      <c r="O13" s="12">
        <v>1266</v>
      </c>
      <c r="P13" s="12">
        <v>2320</v>
      </c>
      <c r="Q13" s="12">
        <v>1054</v>
      </c>
      <c r="R13" s="12">
        <f t="shared" si="0"/>
        <v>1266</v>
      </c>
      <c r="S13" s="12">
        <f t="shared" si="1"/>
        <v>2320</v>
      </c>
    </row>
    <row r="14" spans="1:19">
      <c r="A14" s="5" t="s">
        <v>56</v>
      </c>
      <c r="B14" s="6">
        <v>44535</v>
      </c>
      <c r="C14">
        <v>5</v>
      </c>
      <c r="D14" t="s">
        <v>20</v>
      </c>
      <c r="E14">
        <v>2021</v>
      </c>
      <c r="F14">
        <v>37</v>
      </c>
      <c r="G14" s="3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11" t="s">
        <v>27</v>
      </c>
      <c r="N14">
        <v>1</v>
      </c>
      <c r="O14" s="12">
        <v>1252</v>
      </c>
      <c r="P14" s="12">
        <v>2295</v>
      </c>
      <c r="Q14" s="12">
        <v>1043</v>
      </c>
      <c r="R14" s="12">
        <f t="shared" si="0"/>
        <v>1252</v>
      </c>
      <c r="S14" s="12">
        <f t="shared" si="1"/>
        <v>2295</v>
      </c>
    </row>
    <row r="15" spans="1:19">
      <c r="A15" s="5" t="s">
        <v>57</v>
      </c>
      <c r="B15" s="6">
        <v>44536</v>
      </c>
      <c r="C15">
        <v>6</v>
      </c>
      <c r="D15" t="s">
        <v>20</v>
      </c>
      <c r="E15">
        <v>2021</v>
      </c>
      <c r="F15">
        <v>23</v>
      </c>
      <c r="G15" s="3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11" t="s">
        <v>34</v>
      </c>
      <c r="N15">
        <v>3</v>
      </c>
      <c r="O15" s="12">
        <v>420</v>
      </c>
      <c r="P15" s="12">
        <v>769</v>
      </c>
      <c r="Q15" s="12">
        <v>1047</v>
      </c>
      <c r="R15" s="12">
        <f t="shared" si="0"/>
        <v>1260</v>
      </c>
      <c r="S15" s="12">
        <f t="shared" si="1"/>
        <v>2307</v>
      </c>
    </row>
    <row r="16" spans="1:19">
      <c r="A16" s="5" t="s">
        <v>58</v>
      </c>
      <c r="B16" s="6">
        <v>44536</v>
      </c>
      <c r="C16">
        <v>6</v>
      </c>
      <c r="D16" t="s">
        <v>20</v>
      </c>
      <c r="E16">
        <v>2021</v>
      </c>
      <c r="F16">
        <v>27</v>
      </c>
      <c r="G16" s="3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11" t="s">
        <v>27</v>
      </c>
      <c r="N16">
        <v>1</v>
      </c>
      <c r="O16" s="12">
        <v>1252</v>
      </c>
      <c r="P16" s="12">
        <v>2295</v>
      </c>
      <c r="Q16" s="12">
        <v>1043</v>
      </c>
      <c r="R16" s="12">
        <f t="shared" si="0"/>
        <v>1252</v>
      </c>
      <c r="S16" s="12">
        <f t="shared" si="1"/>
        <v>2295</v>
      </c>
    </row>
    <row r="17" spans="1:19">
      <c r="A17" s="5" t="s">
        <v>61</v>
      </c>
      <c r="B17" s="6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11" t="s">
        <v>62</v>
      </c>
      <c r="N17">
        <v>1</v>
      </c>
      <c r="O17" s="12">
        <v>1252</v>
      </c>
      <c r="P17" s="12">
        <v>2295</v>
      </c>
      <c r="Q17" s="12">
        <v>1043</v>
      </c>
      <c r="R17" s="12">
        <f t="shared" si="0"/>
        <v>1252</v>
      </c>
      <c r="S17" s="12">
        <f t="shared" si="1"/>
        <v>2295</v>
      </c>
    </row>
    <row r="18" spans="1:19">
      <c r="A18" s="5" t="s">
        <v>63</v>
      </c>
      <c r="B18" s="6">
        <v>44536</v>
      </c>
      <c r="C18">
        <v>6</v>
      </c>
      <c r="D18" t="s">
        <v>20</v>
      </c>
      <c r="E18">
        <v>2021</v>
      </c>
      <c r="F18">
        <v>47</v>
      </c>
      <c r="G18" s="3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11" t="s">
        <v>55</v>
      </c>
      <c r="N18">
        <v>1</v>
      </c>
      <c r="O18" s="12">
        <v>1266</v>
      </c>
      <c r="P18" s="12">
        <v>2320</v>
      </c>
      <c r="Q18" s="12">
        <v>1054</v>
      </c>
      <c r="R18" s="12">
        <f t="shared" si="0"/>
        <v>1266</v>
      </c>
      <c r="S18" s="12">
        <f t="shared" si="1"/>
        <v>2320</v>
      </c>
    </row>
    <row r="19" spans="1:19">
      <c r="A19" s="5" t="s">
        <v>64</v>
      </c>
      <c r="B19" s="6">
        <v>44537</v>
      </c>
      <c r="C19">
        <v>7</v>
      </c>
      <c r="D19" t="s">
        <v>65</v>
      </c>
      <c r="E19">
        <v>2021</v>
      </c>
      <c r="F19">
        <v>30</v>
      </c>
      <c r="G19" s="3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11" t="s">
        <v>66</v>
      </c>
      <c r="N19">
        <v>4</v>
      </c>
      <c r="O19" s="12">
        <v>420</v>
      </c>
      <c r="P19" s="12">
        <v>769</v>
      </c>
      <c r="Q19" s="12">
        <v>1396</v>
      </c>
      <c r="R19" s="12">
        <f t="shared" si="0"/>
        <v>1680</v>
      </c>
      <c r="S19" s="12">
        <f t="shared" si="1"/>
        <v>3076</v>
      </c>
    </row>
    <row r="20" spans="1:19">
      <c r="A20" s="5" t="s">
        <v>67</v>
      </c>
      <c r="B20" s="6">
        <v>44537</v>
      </c>
      <c r="C20">
        <v>7</v>
      </c>
      <c r="D20" t="s">
        <v>20</v>
      </c>
      <c r="E20">
        <v>2021</v>
      </c>
      <c r="F20">
        <v>38</v>
      </c>
      <c r="G20" s="3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11" t="s">
        <v>31</v>
      </c>
      <c r="N20">
        <v>2</v>
      </c>
      <c r="O20" s="12">
        <v>1266</v>
      </c>
      <c r="P20" s="12">
        <v>2320</v>
      </c>
      <c r="Q20" s="12">
        <v>2108</v>
      </c>
      <c r="R20" s="12">
        <f t="shared" si="0"/>
        <v>2532</v>
      </c>
      <c r="S20" s="12">
        <f t="shared" si="1"/>
        <v>4640</v>
      </c>
    </row>
    <row r="21" spans="1:19">
      <c r="A21" s="5" t="s">
        <v>68</v>
      </c>
      <c r="B21" s="6">
        <v>44538</v>
      </c>
      <c r="C21">
        <v>8</v>
      </c>
      <c r="D21" t="s">
        <v>20</v>
      </c>
      <c r="E21">
        <v>2021</v>
      </c>
      <c r="F21">
        <v>19</v>
      </c>
      <c r="G21" s="3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11" t="s">
        <v>69</v>
      </c>
      <c r="N21">
        <v>4</v>
      </c>
      <c r="O21" s="12">
        <v>308</v>
      </c>
      <c r="P21" s="12">
        <v>565</v>
      </c>
      <c r="Q21" s="12">
        <v>1028</v>
      </c>
      <c r="R21" s="12">
        <f t="shared" si="0"/>
        <v>1232</v>
      </c>
      <c r="S21" s="12">
        <f t="shared" si="1"/>
        <v>2260</v>
      </c>
    </row>
    <row r="22" spans="1:19">
      <c r="A22" s="5" t="s">
        <v>70</v>
      </c>
      <c r="B22" s="6">
        <v>44538</v>
      </c>
      <c r="C22">
        <v>8</v>
      </c>
      <c r="D22" t="s">
        <v>20</v>
      </c>
      <c r="E22">
        <v>2021</v>
      </c>
      <c r="F22">
        <v>30</v>
      </c>
      <c r="G22" s="3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11" t="s">
        <v>55</v>
      </c>
      <c r="N22">
        <v>4</v>
      </c>
      <c r="O22" s="12">
        <v>1266</v>
      </c>
      <c r="P22" s="12">
        <v>2320</v>
      </c>
      <c r="Q22" s="12">
        <v>4216</v>
      </c>
      <c r="R22" s="12">
        <f t="shared" si="0"/>
        <v>5064</v>
      </c>
      <c r="S22" s="12">
        <f t="shared" si="1"/>
        <v>9280</v>
      </c>
    </row>
    <row r="23" spans="1:19">
      <c r="A23" s="5" t="s">
        <v>71</v>
      </c>
      <c r="B23" s="6">
        <v>44538</v>
      </c>
      <c r="C23">
        <v>8</v>
      </c>
      <c r="D23" t="s">
        <v>20</v>
      </c>
      <c r="E23">
        <v>2021</v>
      </c>
      <c r="F23">
        <v>39</v>
      </c>
      <c r="G23" s="3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11"/>
      <c r="N23">
        <v>2</v>
      </c>
      <c r="O23" s="12">
        <v>1252</v>
      </c>
      <c r="P23" s="12">
        <v>2295</v>
      </c>
      <c r="Q23" s="12">
        <v>2086</v>
      </c>
      <c r="R23" s="12">
        <f t="shared" si="0"/>
        <v>2504</v>
      </c>
      <c r="S23" s="12">
        <f t="shared" si="1"/>
        <v>4590</v>
      </c>
    </row>
    <row r="24" spans="1:19">
      <c r="A24" s="5" t="s">
        <v>73</v>
      </c>
      <c r="B24" s="6">
        <v>44538</v>
      </c>
      <c r="C24">
        <v>8</v>
      </c>
      <c r="D24" t="s">
        <v>20</v>
      </c>
      <c r="E24">
        <v>2021</v>
      </c>
      <c r="F24">
        <v>35</v>
      </c>
      <c r="G24" s="3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11" t="s">
        <v>74</v>
      </c>
      <c r="O24" s="12">
        <v>295</v>
      </c>
      <c r="P24" s="12">
        <v>540</v>
      </c>
      <c r="Q24" s="12">
        <v>245</v>
      </c>
      <c r="R24" s="12">
        <f t="shared" si="0"/>
        <v>0</v>
      </c>
      <c r="S24" s="12">
        <f t="shared" si="1"/>
        <v>0</v>
      </c>
    </row>
    <row r="25" spans="1:19">
      <c r="A25" s="5" t="s">
        <v>75</v>
      </c>
      <c r="B25" s="6">
        <v>44539</v>
      </c>
      <c r="C25">
        <v>9</v>
      </c>
      <c r="D25" t="s">
        <v>20</v>
      </c>
      <c r="E25">
        <v>2021</v>
      </c>
      <c r="F25">
        <v>33</v>
      </c>
      <c r="G25" s="3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11" t="s">
        <v>77</v>
      </c>
      <c r="N25">
        <v>2</v>
      </c>
      <c r="O25" s="12">
        <v>1898</v>
      </c>
      <c r="P25" s="12">
        <v>3375</v>
      </c>
      <c r="Q25" s="12">
        <v>2954</v>
      </c>
      <c r="R25" s="12">
        <f t="shared" si="0"/>
        <v>3796</v>
      </c>
      <c r="S25" s="12">
        <f t="shared" si="1"/>
        <v>6750</v>
      </c>
    </row>
    <row r="26" spans="1:19">
      <c r="A26" s="5" t="s">
        <v>78</v>
      </c>
      <c r="B26" s="6">
        <v>44539</v>
      </c>
      <c r="C26">
        <v>9</v>
      </c>
      <c r="D26" t="s">
        <v>20</v>
      </c>
      <c r="E26">
        <v>2021</v>
      </c>
      <c r="F26">
        <v>41</v>
      </c>
      <c r="G26" s="3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11" t="s">
        <v>31</v>
      </c>
      <c r="N26">
        <v>1</v>
      </c>
      <c r="O26" s="12">
        <v>1266</v>
      </c>
      <c r="P26" s="12">
        <v>2320</v>
      </c>
      <c r="Q26" s="12">
        <v>1054</v>
      </c>
      <c r="R26" s="12">
        <f t="shared" si="0"/>
        <v>1266</v>
      </c>
      <c r="S26" s="12">
        <f t="shared" si="1"/>
        <v>2320</v>
      </c>
    </row>
    <row r="27" spans="1:19">
      <c r="A27" s="5" t="s">
        <v>80</v>
      </c>
      <c r="B27" s="6">
        <v>44540</v>
      </c>
      <c r="C27">
        <v>10</v>
      </c>
      <c r="D27" t="s">
        <v>20</v>
      </c>
      <c r="E27">
        <v>2021</v>
      </c>
      <c r="F27">
        <v>34</v>
      </c>
      <c r="G27" s="3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11" t="s">
        <v>62</v>
      </c>
      <c r="N27">
        <v>2</v>
      </c>
      <c r="O27" s="12">
        <v>1252</v>
      </c>
      <c r="P27" s="12">
        <v>2295</v>
      </c>
      <c r="Q27" s="12">
        <v>2086</v>
      </c>
      <c r="R27" s="12">
        <f t="shared" si="0"/>
        <v>2504</v>
      </c>
      <c r="S27" s="12">
        <f t="shared" si="1"/>
        <v>4590</v>
      </c>
    </row>
    <row r="28" spans="1:19">
      <c r="A28" s="5" t="s">
        <v>81</v>
      </c>
      <c r="B28" s="6">
        <v>44540</v>
      </c>
      <c r="C28">
        <v>10</v>
      </c>
      <c r="D28" t="s">
        <v>20</v>
      </c>
      <c r="E28">
        <v>2021</v>
      </c>
      <c r="F28">
        <v>40</v>
      </c>
      <c r="G28" s="3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11" t="s">
        <v>62</v>
      </c>
      <c r="N28">
        <v>2</v>
      </c>
      <c r="O28" s="12">
        <v>1252</v>
      </c>
      <c r="P28" s="12">
        <v>2295</v>
      </c>
      <c r="Q28" s="12">
        <v>2086</v>
      </c>
      <c r="R28" s="12">
        <f t="shared" si="0"/>
        <v>2504</v>
      </c>
      <c r="S28" s="12">
        <f t="shared" si="1"/>
        <v>4590</v>
      </c>
    </row>
    <row r="29" spans="1:19">
      <c r="A29" s="5" t="s">
        <v>82</v>
      </c>
      <c r="B29" s="6">
        <v>44540</v>
      </c>
      <c r="C29">
        <v>10</v>
      </c>
      <c r="D29" t="s">
        <v>20</v>
      </c>
      <c r="E29">
        <v>2021</v>
      </c>
      <c r="F29">
        <v>26</v>
      </c>
      <c r="G29" s="3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11" t="s">
        <v>44</v>
      </c>
      <c r="N29">
        <v>1</v>
      </c>
      <c r="O29" s="12">
        <v>1252</v>
      </c>
      <c r="P29" s="12">
        <v>2295</v>
      </c>
      <c r="Q29" s="12">
        <v>1043</v>
      </c>
      <c r="R29" s="12">
        <f t="shared" si="0"/>
        <v>1252</v>
      </c>
      <c r="S29" s="12">
        <f t="shared" si="1"/>
        <v>2295</v>
      </c>
    </row>
    <row r="30" spans="1:19">
      <c r="A30" s="5" t="s">
        <v>83</v>
      </c>
      <c r="B30" s="6">
        <v>44540</v>
      </c>
      <c r="C30">
        <v>10</v>
      </c>
      <c r="D30" t="s">
        <v>20</v>
      </c>
      <c r="E30">
        <v>2021</v>
      </c>
      <c r="F30">
        <v>34</v>
      </c>
      <c r="G30" s="3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11" t="s">
        <v>84</v>
      </c>
      <c r="N30">
        <v>1</v>
      </c>
      <c r="O30" s="12">
        <v>295</v>
      </c>
      <c r="P30" s="12">
        <v>540</v>
      </c>
      <c r="Q30" s="12">
        <v>245</v>
      </c>
      <c r="R30" s="12">
        <f t="shared" si="0"/>
        <v>295</v>
      </c>
      <c r="S30" s="12">
        <f t="shared" si="1"/>
        <v>540</v>
      </c>
    </row>
    <row r="31" spans="1:19">
      <c r="A31" s="5" t="s">
        <v>85</v>
      </c>
      <c r="B31" s="6">
        <v>44540</v>
      </c>
      <c r="C31">
        <v>10</v>
      </c>
      <c r="D31" t="s">
        <v>20</v>
      </c>
      <c r="E31">
        <v>2021</v>
      </c>
      <c r="F31">
        <v>34</v>
      </c>
      <c r="G31" s="3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11" t="s">
        <v>86</v>
      </c>
      <c r="N31">
        <v>1</v>
      </c>
      <c r="O31" s="12">
        <v>1912</v>
      </c>
      <c r="P31" s="12">
        <v>3400</v>
      </c>
      <c r="Q31" s="12">
        <v>1488</v>
      </c>
      <c r="R31" s="12">
        <f t="shared" si="0"/>
        <v>1912</v>
      </c>
      <c r="S31" s="12">
        <f t="shared" si="1"/>
        <v>3400</v>
      </c>
    </row>
    <row r="32" spans="1:19">
      <c r="A32" s="5" t="s">
        <v>87</v>
      </c>
      <c r="B32" s="6">
        <v>44540</v>
      </c>
      <c r="C32">
        <v>10</v>
      </c>
      <c r="D32" t="s">
        <v>20</v>
      </c>
      <c r="E32">
        <v>2021</v>
      </c>
      <c r="F32">
        <v>38</v>
      </c>
      <c r="G32" s="3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11" t="s">
        <v>44</v>
      </c>
      <c r="N32">
        <v>1</v>
      </c>
      <c r="O32" s="12">
        <v>1252</v>
      </c>
      <c r="P32" s="12">
        <v>2295</v>
      </c>
      <c r="Q32" s="12">
        <v>1043</v>
      </c>
      <c r="R32" s="12">
        <f t="shared" si="0"/>
        <v>1252</v>
      </c>
      <c r="S32" s="12">
        <f t="shared" si="1"/>
        <v>2295</v>
      </c>
    </row>
    <row r="33" spans="1:19">
      <c r="A33" s="5" t="s">
        <v>88</v>
      </c>
      <c r="B33" s="6">
        <v>44541</v>
      </c>
      <c r="C33">
        <v>11</v>
      </c>
      <c r="D33" t="s">
        <v>20</v>
      </c>
      <c r="E33">
        <v>2021</v>
      </c>
      <c r="F33">
        <v>24</v>
      </c>
      <c r="G33" s="3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11" t="s">
        <v>44</v>
      </c>
      <c r="N33">
        <v>3</v>
      </c>
      <c r="O33" s="12">
        <v>1252</v>
      </c>
      <c r="P33" s="12">
        <v>2295</v>
      </c>
      <c r="Q33" s="12">
        <v>3129</v>
      </c>
      <c r="R33" s="12">
        <f t="shared" si="0"/>
        <v>3756</v>
      </c>
      <c r="S33" s="12">
        <f t="shared" si="1"/>
        <v>6885</v>
      </c>
    </row>
    <row r="34" spans="1:19">
      <c r="A34" s="5" t="s">
        <v>91</v>
      </c>
      <c r="B34" s="6">
        <v>44541</v>
      </c>
      <c r="C34">
        <v>11</v>
      </c>
      <c r="D34" t="s">
        <v>20</v>
      </c>
      <c r="E34">
        <v>2021</v>
      </c>
      <c r="F34">
        <v>41</v>
      </c>
      <c r="G34" s="3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11" t="s">
        <v>66</v>
      </c>
      <c r="N34">
        <v>2</v>
      </c>
      <c r="O34" s="12">
        <v>420</v>
      </c>
      <c r="P34" s="12">
        <v>769</v>
      </c>
      <c r="Q34" s="12">
        <v>698</v>
      </c>
      <c r="R34" s="12">
        <f t="shared" ref="R34:R65" si="2">N34*O34</f>
        <v>840</v>
      </c>
      <c r="S34" s="12">
        <f t="shared" ref="S34:S65" si="3">N34*P34</f>
        <v>1538</v>
      </c>
    </row>
    <row r="35" spans="1:19">
      <c r="A35" s="5" t="s">
        <v>92</v>
      </c>
      <c r="B35" s="6">
        <v>44541</v>
      </c>
      <c r="C35">
        <v>11</v>
      </c>
      <c r="D35" t="s">
        <v>20</v>
      </c>
      <c r="E35">
        <v>2021</v>
      </c>
      <c r="F35">
        <v>27</v>
      </c>
      <c r="G35" s="3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11" t="s">
        <v>27</v>
      </c>
      <c r="N35">
        <v>1</v>
      </c>
      <c r="O35" s="12">
        <v>1252</v>
      </c>
      <c r="P35" s="12">
        <v>2295</v>
      </c>
      <c r="Q35" s="12">
        <v>1043</v>
      </c>
      <c r="R35" s="12">
        <f t="shared" si="2"/>
        <v>1252</v>
      </c>
      <c r="S35" s="12">
        <f t="shared" si="3"/>
        <v>2295</v>
      </c>
    </row>
    <row r="36" spans="1:19">
      <c r="A36" s="5" t="s">
        <v>93</v>
      </c>
      <c r="B36" s="6">
        <v>44541</v>
      </c>
      <c r="C36">
        <v>11</v>
      </c>
      <c r="D36" t="s">
        <v>20</v>
      </c>
      <c r="E36">
        <v>2021</v>
      </c>
      <c r="F36">
        <v>37</v>
      </c>
      <c r="G36" s="3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11" t="s">
        <v>34</v>
      </c>
      <c r="N36">
        <v>1</v>
      </c>
      <c r="O36" s="12">
        <v>420</v>
      </c>
      <c r="P36" s="12">
        <v>769</v>
      </c>
      <c r="Q36" s="12">
        <v>349</v>
      </c>
      <c r="R36" s="12">
        <f t="shared" si="2"/>
        <v>420</v>
      </c>
      <c r="S36" s="12">
        <f t="shared" si="3"/>
        <v>769</v>
      </c>
    </row>
    <row r="37" spans="1:19">
      <c r="A37" s="5" t="s">
        <v>94</v>
      </c>
      <c r="B37" s="6">
        <v>44541</v>
      </c>
      <c r="C37">
        <v>11</v>
      </c>
      <c r="D37" t="s">
        <v>20</v>
      </c>
      <c r="E37">
        <v>2021</v>
      </c>
      <c r="F37">
        <v>38</v>
      </c>
      <c r="G37" s="3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11" t="s">
        <v>55</v>
      </c>
      <c r="N37">
        <v>1</v>
      </c>
      <c r="O37" s="12">
        <v>1266</v>
      </c>
      <c r="P37" s="12">
        <v>2320</v>
      </c>
      <c r="Q37" s="12">
        <v>1054</v>
      </c>
      <c r="R37" s="12">
        <f t="shared" si="2"/>
        <v>1266</v>
      </c>
      <c r="S37" s="12">
        <f t="shared" si="3"/>
        <v>2320</v>
      </c>
    </row>
    <row r="38" spans="1:19">
      <c r="A38" s="5" t="s">
        <v>95</v>
      </c>
      <c r="B38" s="6">
        <v>44542</v>
      </c>
      <c r="C38">
        <v>12</v>
      </c>
      <c r="D38" t="s">
        <v>20</v>
      </c>
      <c r="E38">
        <v>2021</v>
      </c>
      <c r="F38">
        <v>36</v>
      </c>
      <c r="G38" s="3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11" t="s">
        <v>31</v>
      </c>
      <c r="N38">
        <v>4</v>
      </c>
      <c r="O38" s="12">
        <v>1266</v>
      </c>
      <c r="P38" s="12">
        <v>2320</v>
      </c>
      <c r="Q38" s="12">
        <v>4216</v>
      </c>
      <c r="R38" s="12">
        <f t="shared" si="2"/>
        <v>5064</v>
      </c>
      <c r="S38" s="12">
        <f t="shared" si="3"/>
        <v>9280</v>
      </c>
    </row>
    <row r="39" spans="1:19">
      <c r="A39" s="5" t="s">
        <v>96</v>
      </c>
      <c r="B39" s="6">
        <v>44542</v>
      </c>
      <c r="C39">
        <v>12</v>
      </c>
      <c r="D39" t="s">
        <v>20</v>
      </c>
      <c r="E39">
        <v>2021</v>
      </c>
      <c r="F39">
        <v>37</v>
      </c>
      <c r="G39" s="3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11" t="s">
        <v>34</v>
      </c>
      <c r="N39">
        <v>4</v>
      </c>
      <c r="O39" s="12">
        <v>420</v>
      </c>
      <c r="P39" s="12">
        <v>769</v>
      </c>
      <c r="Q39" s="12">
        <v>1396</v>
      </c>
      <c r="R39" s="12">
        <f t="shared" si="2"/>
        <v>1680</v>
      </c>
      <c r="S39" s="12">
        <f t="shared" si="3"/>
        <v>3076</v>
      </c>
    </row>
    <row r="40" spans="1:19">
      <c r="A40" s="5" t="s">
        <v>97</v>
      </c>
      <c r="B40" s="6">
        <v>44542</v>
      </c>
      <c r="C40">
        <v>12</v>
      </c>
      <c r="D40" t="s">
        <v>20</v>
      </c>
      <c r="E40">
        <v>2021</v>
      </c>
      <c r="F40">
        <v>34</v>
      </c>
      <c r="G40" s="3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11" t="s">
        <v>44</v>
      </c>
      <c r="N40">
        <v>2</v>
      </c>
      <c r="O40" s="12">
        <v>1252</v>
      </c>
      <c r="P40" s="12">
        <v>2295</v>
      </c>
      <c r="Q40" s="12">
        <v>2086</v>
      </c>
      <c r="R40" s="12">
        <f t="shared" si="2"/>
        <v>2504</v>
      </c>
      <c r="S40" s="12">
        <f t="shared" si="3"/>
        <v>4590</v>
      </c>
    </row>
    <row r="41" spans="1:19">
      <c r="A41" s="5" t="s">
        <v>98</v>
      </c>
      <c r="B41" s="6">
        <v>44542</v>
      </c>
      <c r="C41">
        <v>12</v>
      </c>
      <c r="D41" t="s">
        <v>20</v>
      </c>
      <c r="E41">
        <v>2021</v>
      </c>
      <c r="F41">
        <v>35</v>
      </c>
      <c r="G41" s="3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11" t="s">
        <v>31</v>
      </c>
      <c r="N41">
        <v>1</v>
      </c>
      <c r="O41" s="12">
        <v>1266</v>
      </c>
      <c r="P41" s="12">
        <v>2320</v>
      </c>
      <c r="Q41" s="12">
        <v>1054</v>
      </c>
      <c r="R41" s="12">
        <f t="shared" si="2"/>
        <v>1266</v>
      </c>
      <c r="S41" s="12">
        <f t="shared" si="3"/>
        <v>2320</v>
      </c>
    </row>
    <row r="42" spans="1:19">
      <c r="A42" s="5" t="s">
        <v>99</v>
      </c>
      <c r="B42" s="6">
        <v>44542</v>
      </c>
      <c r="C42">
        <v>12</v>
      </c>
      <c r="D42" t="s">
        <v>20</v>
      </c>
      <c r="E42">
        <v>2021</v>
      </c>
      <c r="F42">
        <v>38</v>
      </c>
      <c r="G42" s="3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11" t="s">
        <v>31</v>
      </c>
      <c r="N42">
        <v>1</v>
      </c>
      <c r="O42" s="12">
        <v>1266</v>
      </c>
      <c r="P42" s="12">
        <v>2320</v>
      </c>
      <c r="Q42" s="12">
        <v>1054</v>
      </c>
      <c r="R42" s="12">
        <f t="shared" si="2"/>
        <v>1266</v>
      </c>
      <c r="S42" s="12">
        <f t="shared" si="3"/>
        <v>2320</v>
      </c>
    </row>
    <row r="43" spans="1:19">
      <c r="A43" s="5" t="s">
        <v>100</v>
      </c>
      <c r="B43" s="6">
        <v>44543</v>
      </c>
      <c r="C43">
        <v>13</v>
      </c>
      <c r="D43" t="s">
        <v>20</v>
      </c>
      <c r="E43">
        <v>2021</v>
      </c>
      <c r="F43">
        <v>32</v>
      </c>
      <c r="G43" s="3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11" t="s">
        <v>31</v>
      </c>
      <c r="N43">
        <v>3</v>
      </c>
      <c r="O43" s="12">
        <v>1266</v>
      </c>
      <c r="P43" s="12">
        <v>2320</v>
      </c>
      <c r="Q43" s="12">
        <v>3162</v>
      </c>
      <c r="R43" s="12">
        <f t="shared" si="2"/>
        <v>3798</v>
      </c>
      <c r="S43" s="12">
        <f t="shared" si="3"/>
        <v>6960</v>
      </c>
    </row>
    <row r="44" spans="1:19">
      <c r="A44" s="5" t="s">
        <v>101</v>
      </c>
      <c r="B44" s="6">
        <v>44543</v>
      </c>
      <c r="C44">
        <v>13</v>
      </c>
      <c r="D44" t="s">
        <v>20</v>
      </c>
      <c r="E44">
        <v>2021</v>
      </c>
      <c r="F44">
        <v>40</v>
      </c>
      <c r="G44" s="3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11" t="s">
        <v>102</v>
      </c>
      <c r="N44">
        <v>1</v>
      </c>
      <c r="O44" s="12">
        <v>308</v>
      </c>
      <c r="P44" s="12">
        <v>565</v>
      </c>
      <c r="Q44" s="12">
        <v>257</v>
      </c>
      <c r="R44" s="12">
        <f t="shared" si="2"/>
        <v>308</v>
      </c>
      <c r="S44" s="12">
        <f t="shared" si="3"/>
        <v>565</v>
      </c>
    </row>
    <row r="45" spans="1:19">
      <c r="A45" s="5" t="s">
        <v>103</v>
      </c>
      <c r="B45" s="6">
        <v>44543</v>
      </c>
      <c r="C45">
        <v>13</v>
      </c>
      <c r="D45" t="s">
        <v>20</v>
      </c>
      <c r="E45">
        <v>2021</v>
      </c>
      <c r="F45">
        <v>44</v>
      </c>
      <c r="G45" s="3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11" t="s">
        <v>44</v>
      </c>
      <c r="N45">
        <v>1</v>
      </c>
      <c r="O45" s="12">
        <v>1252</v>
      </c>
      <c r="P45" s="12">
        <v>2295</v>
      </c>
      <c r="Q45" s="12">
        <v>1043</v>
      </c>
      <c r="R45" s="12">
        <f t="shared" si="2"/>
        <v>1252</v>
      </c>
      <c r="S45" s="12">
        <f t="shared" si="3"/>
        <v>2295</v>
      </c>
    </row>
    <row r="46" spans="1:19">
      <c r="A46" s="5" t="s">
        <v>104</v>
      </c>
      <c r="B46" s="6">
        <v>44543</v>
      </c>
      <c r="C46">
        <v>13</v>
      </c>
      <c r="D46" t="s">
        <v>20</v>
      </c>
      <c r="E46">
        <v>2021</v>
      </c>
      <c r="F46">
        <v>49</v>
      </c>
      <c r="G46" s="3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11" t="s">
        <v>44</v>
      </c>
      <c r="N46">
        <v>1</v>
      </c>
      <c r="O46" s="12">
        <v>1252</v>
      </c>
      <c r="P46" s="12">
        <v>2295</v>
      </c>
      <c r="Q46" s="12">
        <v>1043</v>
      </c>
      <c r="R46" s="12">
        <f t="shared" si="2"/>
        <v>1252</v>
      </c>
      <c r="S46" s="12">
        <f t="shared" si="3"/>
        <v>2295</v>
      </c>
    </row>
    <row r="47" spans="1:19">
      <c r="A47" s="5" t="s">
        <v>105</v>
      </c>
      <c r="B47" s="6">
        <v>44544</v>
      </c>
      <c r="C47">
        <v>14</v>
      </c>
      <c r="D47" t="s">
        <v>20</v>
      </c>
      <c r="E47">
        <v>2021</v>
      </c>
      <c r="F47">
        <v>30</v>
      </c>
      <c r="G47" s="3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11" t="s">
        <v>55</v>
      </c>
      <c r="N47">
        <v>2</v>
      </c>
      <c r="O47" s="12">
        <v>1266</v>
      </c>
      <c r="P47" s="12">
        <v>2320</v>
      </c>
      <c r="Q47" s="12">
        <v>2108</v>
      </c>
      <c r="R47" s="12">
        <f t="shared" si="2"/>
        <v>2532</v>
      </c>
      <c r="S47" s="12">
        <f t="shared" si="3"/>
        <v>4640</v>
      </c>
    </row>
    <row r="48" spans="1:19">
      <c r="A48" s="5" t="s">
        <v>106</v>
      </c>
      <c r="B48" s="6">
        <v>44544</v>
      </c>
      <c r="C48">
        <v>14</v>
      </c>
      <c r="D48" t="s">
        <v>20</v>
      </c>
      <c r="E48">
        <v>2021</v>
      </c>
      <c r="F48">
        <v>32</v>
      </c>
      <c r="G48" s="3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11" t="s">
        <v>27</v>
      </c>
      <c r="N48">
        <v>1</v>
      </c>
      <c r="O48" s="12">
        <v>1252</v>
      </c>
      <c r="P48" s="12">
        <v>2295</v>
      </c>
      <c r="Q48" s="12">
        <v>1043</v>
      </c>
      <c r="R48" s="12">
        <f t="shared" si="2"/>
        <v>1252</v>
      </c>
      <c r="S48" s="12">
        <f t="shared" si="3"/>
        <v>2295</v>
      </c>
    </row>
    <row r="49" spans="1:19">
      <c r="A49" s="5" t="s">
        <v>107</v>
      </c>
      <c r="B49" s="6">
        <v>44544</v>
      </c>
      <c r="C49">
        <v>14</v>
      </c>
      <c r="D49" t="s">
        <v>20</v>
      </c>
      <c r="E49">
        <v>2021</v>
      </c>
      <c r="F49">
        <v>32</v>
      </c>
      <c r="G49" s="3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11" t="s">
        <v>34</v>
      </c>
      <c r="N49">
        <v>1</v>
      </c>
      <c r="O49" s="12">
        <v>420</v>
      </c>
      <c r="P49" s="12">
        <v>769</v>
      </c>
      <c r="Q49" s="12">
        <v>349</v>
      </c>
      <c r="R49" s="12">
        <f t="shared" si="2"/>
        <v>420</v>
      </c>
      <c r="S49" s="12">
        <f t="shared" si="3"/>
        <v>769</v>
      </c>
    </row>
    <row r="50" spans="1:19">
      <c r="A50" s="5" t="s">
        <v>108</v>
      </c>
      <c r="B50" s="6">
        <v>44545</v>
      </c>
      <c r="C50">
        <v>15</v>
      </c>
      <c r="D50" t="s">
        <v>20</v>
      </c>
      <c r="E50">
        <v>2021</v>
      </c>
      <c r="F50">
        <v>29</v>
      </c>
      <c r="G50" s="3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11" t="s">
        <v>31</v>
      </c>
      <c r="N50">
        <v>1</v>
      </c>
      <c r="O50" s="12">
        <v>1266</v>
      </c>
      <c r="P50" s="12">
        <v>2320</v>
      </c>
      <c r="Q50" s="12">
        <v>1054</v>
      </c>
      <c r="R50" s="12">
        <f t="shared" si="2"/>
        <v>1266</v>
      </c>
      <c r="S50" s="12">
        <f t="shared" si="3"/>
        <v>2320</v>
      </c>
    </row>
    <row r="51" spans="1:19">
      <c r="A51" s="5" t="s">
        <v>109</v>
      </c>
      <c r="B51" s="6">
        <v>44546</v>
      </c>
      <c r="C51">
        <v>16</v>
      </c>
      <c r="D51" t="s">
        <v>20</v>
      </c>
      <c r="E51">
        <v>2021</v>
      </c>
      <c r="F51">
        <v>33</v>
      </c>
      <c r="G51" s="3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11" t="s">
        <v>44</v>
      </c>
      <c r="N51">
        <v>2</v>
      </c>
      <c r="O51" s="12">
        <v>1252</v>
      </c>
      <c r="P51" s="12">
        <v>2295</v>
      </c>
      <c r="Q51" s="12">
        <v>2086</v>
      </c>
      <c r="R51" s="12">
        <f t="shared" si="2"/>
        <v>2504</v>
      </c>
      <c r="S51" s="12">
        <f t="shared" si="3"/>
        <v>4590</v>
      </c>
    </row>
    <row r="52" spans="1:19">
      <c r="A52" s="5" t="s">
        <v>110</v>
      </c>
      <c r="B52" s="6">
        <v>44546</v>
      </c>
      <c r="C52">
        <v>16</v>
      </c>
      <c r="D52" t="s">
        <v>20</v>
      </c>
      <c r="E52">
        <v>2021</v>
      </c>
      <c r="F52">
        <v>38</v>
      </c>
      <c r="G52" s="3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11" t="s">
        <v>44</v>
      </c>
      <c r="N52">
        <v>2</v>
      </c>
      <c r="O52" s="12">
        <v>1252</v>
      </c>
      <c r="P52" s="12">
        <v>2295</v>
      </c>
      <c r="Q52" s="12">
        <v>2086</v>
      </c>
      <c r="R52" s="12">
        <f t="shared" si="2"/>
        <v>2504</v>
      </c>
      <c r="S52" s="12">
        <f t="shared" si="3"/>
        <v>4590</v>
      </c>
    </row>
    <row r="53" spans="1:19">
      <c r="A53" s="5" t="s">
        <v>111</v>
      </c>
      <c r="B53" s="6">
        <v>44546</v>
      </c>
      <c r="C53">
        <v>16</v>
      </c>
      <c r="D53" t="s">
        <v>20</v>
      </c>
      <c r="E53">
        <v>2021</v>
      </c>
      <c r="F53">
        <v>27</v>
      </c>
      <c r="G53" s="3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11" t="s">
        <v>113</v>
      </c>
      <c r="N53">
        <v>1</v>
      </c>
      <c r="O53" s="12">
        <v>1266</v>
      </c>
      <c r="P53" s="12">
        <v>2320</v>
      </c>
      <c r="Q53" s="12">
        <v>1054</v>
      </c>
      <c r="R53" s="12">
        <f t="shared" si="2"/>
        <v>1266</v>
      </c>
      <c r="S53" s="12">
        <f t="shared" si="3"/>
        <v>2320</v>
      </c>
    </row>
    <row r="54" spans="1:19">
      <c r="A54" s="5" t="s">
        <v>114</v>
      </c>
      <c r="B54" s="6">
        <v>44547</v>
      </c>
      <c r="C54">
        <v>17</v>
      </c>
      <c r="D54" t="s">
        <v>20</v>
      </c>
      <c r="E54">
        <v>2021</v>
      </c>
      <c r="F54">
        <v>37</v>
      </c>
      <c r="G54" s="3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11" t="s">
        <v>55</v>
      </c>
      <c r="N54">
        <v>2</v>
      </c>
      <c r="O54" s="12">
        <v>1266</v>
      </c>
      <c r="P54" s="12">
        <v>2320</v>
      </c>
      <c r="Q54" s="12">
        <v>2108</v>
      </c>
      <c r="R54" s="12">
        <f t="shared" si="2"/>
        <v>2532</v>
      </c>
      <c r="S54" s="12">
        <f t="shared" si="3"/>
        <v>4640</v>
      </c>
    </row>
    <row r="55" spans="1:19">
      <c r="A55" s="5" t="s">
        <v>115</v>
      </c>
      <c r="B55" s="6">
        <v>44547</v>
      </c>
      <c r="C55">
        <v>17</v>
      </c>
      <c r="D55" t="s">
        <v>20</v>
      </c>
      <c r="E55">
        <v>2021</v>
      </c>
      <c r="F55">
        <v>31</v>
      </c>
      <c r="G55" s="3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11" t="s">
        <v>39</v>
      </c>
      <c r="N55">
        <v>1</v>
      </c>
      <c r="O55" s="12">
        <v>420</v>
      </c>
      <c r="P55" s="12">
        <v>769</v>
      </c>
      <c r="Q55" s="12">
        <v>349</v>
      </c>
      <c r="R55" s="12">
        <f t="shared" si="2"/>
        <v>420</v>
      </c>
      <c r="S55" s="12">
        <f t="shared" si="3"/>
        <v>769</v>
      </c>
    </row>
    <row r="56" spans="1:19">
      <c r="A56" s="5" t="s">
        <v>116</v>
      </c>
      <c r="B56" s="6">
        <v>44547</v>
      </c>
      <c r="C56">
        <v>17</v>
      </c>
      <c r="D56" t="s">
        <v>20</v>
      </c>
      <c r="E56">
        <v>2021</v>
      </c>
      <c r="F56">
        <v>42</v>
      </c>
      <c r="G56" s="3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11" t="s">
        <v>113</v>
      </c>
      <c r="N56">
        <v>1</v>
      </c>
      <c r="O56" s="12">
        <v>1266</v>
      </c>
      <c r="P56" s="12">
        <v>2320</v>
      </c>
      <c r="Q56" s="12">
        <v>1054</v>
      </c>
      <c r="R56" s="12">
        <f t="shared" si="2"/>
        <v>1266</v>
      </c>
      <c r="S56" s="12">
        <f t="shared" si="3"/>
        <v>2320</v>
      </c>
    </row>
    <row r="57" spans="1:19">
      <c r="A57" s="5" t="s">
        <v>117</v>
      </c>
      <c r="B57" s="6">
        <v>44548</v>
      </c>
      <c r="C57">
        <v>18</v>
      </c>
      <c r="D57" t="s">
        <v>20</v>
      </c>
      <c r="E57">
        <v>2021</v>
      </c>
      <c r="F57">
        <v>35</v>
      </c>
      <c r="G57" s="3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11" t="s">
        <v>69</v>
      </c>
      <c r="N57">
        <v>4</v>
      </c>
      <c r="O57" s="12">
        <v>308</v>
      </c>
      <c r="P57" s="12">
        <v>565</v>
      </c>
      <c r="Q57" s="12">
        <v>1028</v>
      </c>
      <c r="R57" s="12">
        <f t="shared" si="2"/>
        <v>1232</v>
      </c>
      <c r="S57" s="12">
        <f t="shared" si="3"/>
        <v>2260</v>
      </c>
    </row>
    <row r="58" spans="1:19">
      <c r="A58" s="5" t="s">
        <v>118</v>
      </c>
      <c r="B58" s="6">
        <v>44548</v>
      </c>
      <c r="C58">
        <v>18</v>
      </c>
      <c r="D58" t="s">
        <v>20</v>
      </c>
      <c r="E58">
        <v>2021</v>
      </c>
      <c r="F58">
        <v>38</v>
      </c>
      <c r="G58" s="3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11" t="s">
        <v>113</v>
      </c>
      <c r="N58">
        <v>4</v>
      </c>
      <c r="O58" s="12">
        <v>1266</v>
      </c>
      <c r="P58" s="12">
        <v>2320</v>
      </c>
      <c r="Q58" s="12">
        <v>4216</v>
      </c>
      <c r="R58" s="12">
        <f t="shared" si="2"/>
        <v>5064</v>
      </c>
      <c r="S58" s="12">
        <f t="shared" si="3"/>
        <v>9280</v>
      </c>
    </row>
    <row r="59" spans="1:19">
      <c r="A59" s="5" t="s">
        <v>119</v>
      </c>
      <c r="B59" s="6">
        <v>44548</v>
      </c>
      <c r="C59">
        <v>18</v>
      </c>
      <c r="D59" t="s">
        <v>20</v>
      </c>
      <c r="E59">
        <v>2021</v>
      </c>
      <c r="F59">
        <v>24</v>
      </c>
      <c r="G59" s="3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11" t="s">
        <v>55</v>
      </c>
      <c r="N59">
        <v>3</v>
      </c>
      <c r="O59" s="12">
        <v>1266</v>
      </c>
      <c r="P59" s="12">
        <v>2320</v>
      </c>
      <c r="Q59" s="12">
        <v>3162</v>
      </c>
      <c r="R59" s="12">
        <f t="shared" si="2"/>
        <v>3798</v>
      </c>
      <c r="S59" s="12">
        <f t="shared" si="3"/>
        <v>6960</v>
      </c>
    </row>
    <row r="60" spans="1:19">
      <c r="A60" s="5" t="s">
        <v>121</v>
      </c>
      <c r="B60" s="6">
        <v>44548</v>
      </c>
      <c r="C60">
        <v>18</v>
      </c>
      <c r="D60" t="s">
        <v>20</v>
      </c>
      <c r="E60">
        <v>2021</v>
      </c>
      <c r="F60">
        <v>26</v>
      </c>
      <c r="G60" s="3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11" t="s">
        <v>39</v>
      </c>
      <c r="N60">
        <v>3</v>
      </c>
      <c r="O60" s="12">
        <v>420</v>
      </c>
      <c r="P60" s="12">
        <v>769</v>
      </c>
      <c r="Q60" s="12">
        <v>1047</v>
      </c>
      <c r="R60" s="12">
        <f t="shared" si="2"/>
        <v>1260</v>
      </c>
      <c r="S60" s="12">
        <f t="shared" si="3"/>
        <v>2307</v>
      </c>
    </row>
    <row r="61" spans="1:19">
      <c r="A61" s="5" t="s">
        <v>122</v>
      </c>
      <c r="B61" s="6">
        <v>44548</v>
      </c>
      <c r="C61">
        <v>18</v>
      </c>
      <c r="D61" t="s">
        <v>20</v>
      </c>
      <c r="E61">
        <v>2021</v>
      </c>
      <c r="F61">
        <v>39</v>
      </c>
      <c r="G61" s="3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11" t="s">
        <v>62</v>
      </c>
      <c r="N61">
        <v>3</v>
      </c>
      <c r="O61" s="12">
        <v>1252</v>
      </c>
      <c r="P61" s="12">
        <v>2295</v>
      </c>
      <c r="Q61" s="12">
        <v>3129</v>
      </c>
      <c r="R61" s="12">
        <f t="shared" si="2"/>
        <v>3756</v>
      </c>
      <c r="S61" s="12">
        <f t="shared" si="3"/>
        <v>6885</v>
      </c>
    </row>
    <row r="62" spans="1:19">
      <c r="A62" s="5" t="s">
        <v>123</v>
      </c>
      <c r="B62" s="6">
        <v>44548</v>
      </c>
      <c r="C62">
        <v>18</v>
      </c>
      <c r="D62" t="s">
        <v>20</v>
      </c>
      <c r="E62">
        <v>2021</v>
      </c>
      <c r="F62">
        <v>26</v>
      </c>
      <c r="G62" s="3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11" t="s">
        <v>27</v>
      </c>
      <c r="N62">
        <v>1</v>
      </c>
      <c r="O62" s="12">
        <v>1252</v>
      </c>
      <c r="P62" s="12">
        <v>2295</v>
      </c>
      <c r="Q62" s="12">
        <v>1043</v>
      </c>
      <c r="R62" s="12">
        <f t="shared" si="2"/>
        <v>1252</v>
      </c>
      <c r="S62" s="12">
        <f t="shared" si="3"/>
        <v>2295</v>
      </c>
    </row>
    <row r="63" spans="1:19">
      <c r="A63" s="5" t="s">
        <v>124</v>
      </c>
      <c r="B63" s="6">
        <v>44548</v>
      </c>
      <c r="C63">
        <v>18</v>
      </c>
      <c r="D63" t="s">
        <v>20</v>
      </c>
      <c r="E63">
        <v>2021</v>
      </c>
      <c r="F63">
        <v>36</v>
      </c>
      <c r="G63" s="3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11" t="s">
        <v>55</v>
      </c>
      <c r="N63">
        <v>1</v>
      </c>
      <c r="O63" s="12">
        <v>1266</v>
      </c>
      <c r="P63" s="12">
        <v>2320</v>
      </c>
      <c r="Q63" s="12">
        <v>1054</v>
      </c>
      <c r="R63" s="12">
        <f t="shared" si="2"/>
        <v>1266</v>
      </c>
      <c r="S63" s="12">
        <f t="shared" si="3"/>
        <v>2320</v>
      </c>
    </row>
    <row r="64" spans="1:19">
      <c r="A64" s="5" t="s">
        <v>125</v>
      </c>
      <c r="B64" s="6">
        <v>44549</v>
      </c>
      <c r="C64">
        <v>19</v>
      </c>
      <c r="D64" t="s">
        <v>20</v>
      </c>
      <c r="E64">
        <v>2021</v>
      </c>
      <c r="F64">
        <v>17</v>
      </c>
      <c r="G64" s="3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11" t="s">
        <v>113</v>
      </c>
      <c r="N64">
        <v>4</v>
      </c>
      <c r="O64" s="12">
        <v>1266</v>
      </c>
      <c r="P64" s="12">
        <v>2320</v>
      </c>
      <c r="Q64" s="12">
        <v>4216</v>
      </c>
      <c r="R64" s="12">
        <f t="shared" si="2"/>
        <v>5064</v>
      </c>
      <c r="S64" s="12">
        <f t="shared" si="3"/>
        <v>9280</v>
      </c>
    </row>
    <row r="65" spans="1:19">
      <c r="A65" s="5" t="s">
        <v>127</v>
      </c>
      <c r="B65" s="6">
        <v>44549</v>
      </c>
      <c r="C65">
        <v>19</v>
      </c>
      <c r="D65" t="s">
        <v>20</v>
      </c>
      <c r="E65">
        <v>2021</v>
      </c>
      <c r="F65">
        <v>19</v>
      </c>
      <c r="G65" s="3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11" t="s">
        <v>128</v>
      </c>
      <c r="N65">
        <v>4</v>
      </c>
      <c r="O65" s="12">
        <v>295</v>
      </c>
      <c r="P65" s="12">
        <v>540</v>
      </c>
      <c r="Q65" s="12">
        <v>980</v>
      </c>
      <c r="R65" s="12">
        <f t="shared" si="2"/>
        <v>1180</v>
      </c>
      <c r="S65" s="12">
        <f t="shared" si="3"/>
        <v>2160</v>
      </c>
    </row>
    <row r="66" spans="1:19">
      <c r="A66" s="5" t="s">
        <v>129</v>
      </c>
      <c r="B66" s="6">
        <v>44549</v>
      </c>
      <c r="C66">
        <v>19</v>
      </c>
      <c r="D66" t="s">
        <v>20</v>
      </c>
      <c r="E66">
        <v>2021</v>
      </c>
      <c r="F66">
        <v>25</v>
      </c>
      <c r="G66" s="3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11" t="s">
        <v>44</v>
      </c>
      <c r="N66">
        <v>4</v>
      </c>
      <c r="O66" s="12">
        <v>1252</v>
      </c>
      <c r="P66" s="12">
        <v>2295</v>
      </c>
      <c r="Q66" s="12">
        <v>4172</v>
      </c>
      <c r="R66" s="12">
        <f t="shared" ref="R66:R90" si="4">N66*O66</f>
        <v>5008</v>
      </c>
      <c r="S66" s="12">
        <f t="shared" ref="S66:S90" si="5">N66*P66</f>
        <v>9180</v>
      </c>
    </row>
    <row r="67" spans="1:19">
      <c r="A67" s="5" t="s">
        <v>130</v>
      </c>
      <c r="B67" s="6">
        <v>44549</v>
      </c>
      <c r="C67">
        <v>19</v>
      </c>
      <c r="D67" t="s">
        <v>20</v>
      </c>
      <c r="E67">
        <v>2021</v>
      </c>
      <c r="F67">
        <v>35</v>
      </c>
      <c r="G67" s="3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11" t="s">
        <v>131</v>
      </c>
      <c r="N67">
        <v>4</v>
      </c>
      <c r="O67" s="12">
        <v>1898</v>
      </c>
      <c r="P67" s="12">
        <v>3375</v>
      </c>
      <c r="Q67" s="12">
        <v>5908</v>
      </c>
      <c r="R67" s="12">
        <f t="shared" si="4"/>
        <v>7592</v>
      </c>
      <c r="S67" s="12">
        <f t="shared" si="5"/>
        <v>13500</v>
      </c>
    </row>
    <row r="68" spans="1:19">
      <c r="A68" s="5" t="s">
        <v>132</v>
      </c>
      <c r="B68" s="6">
        <v>44549</v>
      </c>
      <c r="C68">
        <v>19</v>
      </c>
      <c r="D68" t="s">
        <v>20</v>
      </c>
      <c r="E68">
        <v>2021</v>
      </c>
      <c r="F68">
        <v>37</v>
      </c>
      <c r="G68" s="3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11" t="s">
        <v>44</v>
      </c>
      <c r="N68">
        <v>4</v>
      </c>
      <c r="O68" s="12">
        <v>1252</v>
      </c>
      <c r="P68" s="12">
        <v>2295</v>
      </c>
      <c r="Q68" s="12">
        <v>4172</v>
      </c>
      <c r="R68" s="12">
        <f t="shared" si="4"/>
        <v>5008</v>
      </c>
      <c r="S68" s="12">
        <f t="shared" si="5"/>
        <v>9180</v>
      </c>
    </row>
    <row r="69" spans="1:19">
      <c r="A69" s="5" t="s">
        <v>133</v>
      </c>
      <c r="B69" s="6">
        <v>44549</v>
      </c>
      <c r="C69">
        <v>19</v>
      </c>
      <c r="D69" t="s">
        <v>20</v>
      </c>
      <c r="E69">
        <v>2021</v>
      </c>
      <c r="F69">
        <v>39</v>
      </c>
      <c r="G69" s="3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11" t="s">
        <v>27</v>
      </c>
      <c r="N69">
        <v>4</v>
      </c>
      <c r="O69" s="12">
        <v>1252</v>
      </c>
      <c r="P69" s="12">
        <v>2295</v>
      </c>
      <c r="Q69" s="12">
        <v>4172</v>
      </c>
      <c r="R69" s="12">
        <f t="shared" si="4"/>
        <v>5008</v>
      </c>
      <c r="S69" s="12">
        <f t="shared" si="5"/>
        <v>9180</v>
      </c>
    </row>
    <row r="70" spans="1:19">
      <c r="A70" s="5" t="s">
        <v>134</v>
      </c>
      <c r="B70" s="6">
        <v>44549</v>
      </c>
      <c r="C70">
        <v>19</v>
      </c>
      <c r="D70" t="s">
        <v>20</v>
      </c>
      <c r="E70">
        <v>2021</v>
      </c>
      <c r="F70">
        <v>63</v>
      </c>
      <c r="G70" s="3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11" t="s">
        <v>27</v>
      </c>
      <c r="N70">
        <v>4</v>
      </c>
      <c r="O70" s="12">
        <v>1252</v>
      </c>
      <c r="P70" s="12">
        <v>2295</v>
      </c>
      <c r="Q70" s="12">
        <v>4172</v>
      </c>
      <c r="R70" s="12">
        <f t="shared" si="4"/>
        <v>5008</v>
      </c>
      <c r="S70" s="12">
        <f t="shared" si="5"/>
        <v>9180</v>
      </c>
    </row>
    <row r="71" spans="1:19">
      <c r="A71" s="5" t="s">
        <v>135</v>
      </c>
      <c r="B71" s="6">
        <v>44549</v>
      </c>
      <c r="C71">
        <v>19</v>
      </c>
      <c r="D71" t="s">
        <v>20</v>
      </c>
      <c r="E71">
        <v>2021</v>
      </c>
      <c r="F71">
        <v>18</v>
      </c>
      <c r="G71" s="3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11" t="s">
        <v>84</v>
      </c>
      <c r="N71">
        <v>2</v>
      </c>
      <c r="O71" s="12">
        <v>295</v>
      </c>
      <c r="P71" s="12">
        <v>540</v>
      </c>
      <c r="Q71" s="12">
        <v>490</v>
      </c>
      <c r="R71" s="12">
        <f t="shared" si="4"/>
        <v>590</v>
      </c>
      <c r="S71" s="12">
        <f t="shared" si="5"/>
        <v>1080</v>
      </c>
    </row>
    <row r="72" spans="1:19">
      <c r="A72" s="5" t="s">
        <v>137</v>
      </c>
      <c r="B72" s="6">
        <v>44549</v>
      </c>
      <c r="C72">
        <v>19</v>
      </c>
      <c r="D72" t="s">
        <v>20</v>
      </c>
      <c r="E72">
        <v>2021</v>
      </c>
      <c r="F72">
        <v>56</v>
      </c>
      <c r="G72" s="3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11" t="s">
        <v>27</v>
      </c>
      <c r="N72">
        <v>2</v>
      </c>
      <c r="O72" s="12">
        <v>1252</v>
      </c>
      <c r="P72" s="12">
        <v>2295</v>
      </c>
      <c r="Q72" s="12">
        <v>2086</v>
      </c>
      <c r="R72" s="12">
        <f t="shared" si="4"/>
        <v>2504</v>
      </c>
      <c r="S72" s="12">
        <f t="shared" si="5"/>
        <v>4590</v>
      </c>
    </row>
    <row r="73" spans="1:19">
      <c r="A73" s="5" t="s">
        <v>139</v>
      </c>
      <c r="B73" s="6">
        <v>44549</v>
      </c>
      <c r="C73">
        <v>19</v>
      </c>
      <c r="D73" t="s">
        <v>20</v>
      </c>
      <c r="E73">
        <v>2021</v>
      </c>
      <c r="F73">
        <v>39</v>
      </c>
      <c r="G73" s="3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11" t="s">
        <v>55</v>
      </c>
      <c r="N73">
        <v>1</v>
      </c>
      <c r="O73" s="12">
        <v>1266</v>
      </c>
      <c r="P73" s="12">
        <v>2320</v>
      </c>
      <c r="Q73" s="12">
        <v>1054</v>
      </c>
      <c r="R73" s="12">
        <f t="shared" si="4"/>
        <v>1266</v>
      </c>
      <c r="S73" s="12">
        <f t="shared" si="5"/>
        <v>2320</v>
      </c>
    </row>
    <row r="74" spans="1:19">
      <c r="A74" s="5" t="s">
        <v>140</v>
      </c>
      <c r="B74" s="6">
        <v>44550</v>
      </c>
      <c r="C74">
        <v>20</v>
      </c>
      <c r="D74" t="s">
        <v>20</v>
      </c>
      <c r="E74">
        <v>2021</v>
      </c>
      <c r="F74">
        <v>33</v>
      </c>
      <c r="G74" s="3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11" t="s">
        <v>77</v>
      </c>
      <c r="N74">
        <v>4</v>
      </c>
      <c r="O74" s="12">
        <v>1898</v>
      </c>
      <c r="P74" s="12">
        <v>3375</v>
      </c>
      <c r="Q74" s="12">
        <v>5908</v>
      </c>
      <c r="R74" s="12">
        <f t="shared" si="4"/>
        <v>7592</v>
      </c>
      <c r="S74" s="12">
        <f t="shared" si="5"/>
        <v>13500</v>
      </c>
    </row>
    <row r="75" spans="1:19">
      <c r="A75" s="5" t="s">
        <v>141</v>
      </c>
      <c r="B75" s="6">
        <v>44550</v>
      </c>
      <c r="C75">
        <v>20</v>
      </c>
      <c r="D75" t="s">
        <v>20</v>
      </c>
      <c r="E75">
        <v>2021</v>
      </c>
      <c r="F75">
        <v>57</v>
      </c>
      <c r="G75" s="3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11" t="s">
        <v>27</v>
      </c>
      <c r="N75">
        <v>4</v>
      </c>
      <c r="O75" s="12">
        <v>1252</v>
      </c>
      <c r="P75" s="12">
        <v>2295</v>
      </c>
      <c r="Q75" s="12">
        <v>4172</v>
      </c>
      <c r="R75" s="12">
        <f t="shared" si="4"/>
        <v>5008</v>
      </c>
      <c r="S75" s="12">
        <f t="shared" si="5"/>
        <v>9180</v>
      </c>
    </row>
    <row r="76" spans="1:19">
      <c r="A76" s="5" t="s">
        <v>142</v>
      </c>
      <c r="B76" s="6">
        <v>44550</v>
      </c>
      <c r="C76">
        <v>20</v>
      </c>
      <c r="D76" t="s">
        <v>20</v>
      </c>
      <c r="E76">
        <v>2021</v>
      </c>
      <c r="F76">
        <v>29</v>
      </c>
      <c r="G76" s="3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11" t="s">
        <v>143</v>
      </c>
      <c r="N76">
        <v>3</v>
      </c>
      <c r="O76" s="12">
        <v>295</v>
      </c>
      <c r="P76" s="12">
        <v>540</v>
      </c>
      <c r="Q76" s="12">
        <v>735</v>
      </c>
      <c r="R76" s="12">
        <f t="shared" si="4"/>
        <v>885</v>
      </c>
      <c r="S76" s="12">
        <f t="shared" si="5"/>
        <v>1620</v>
      </c>
    </row>
    <row r="77" spans="1:19">
      <c r="A77" s="5" t="s">
        <v>144</v>
      </c>
      <c r="B77" s="6">
        <v>44550</v>
      </c>
      <c r="C77">
        <v>20</v>
      </c>
      <c r="D77" t="s">
        <v>20</v>
      </c>
      <c r="E77">
        <v>2021</v>
      </c>
      <c r="F77">
        <v>35</v>
      </c>
      <c r="G77" s="3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11" t="s">
        <v>55</v>
      </c>
      <c r="N77">
        <v>1</v>
      </c>
      <c r="O77" s="12">
        <v>1266</v>
      </c>
      <c r="P77" s="12">
        <v>2320</v>
      </c>
      <c r="Q77" s="12">
        <v>1054</v>
      </c>
      <c r="R77" s="12">
        <f t="shared" si="4"/>
        <v>1266</v>
      </c>
      <c r="S77" s="12">
        <f t="shared" si="5"/>
        <v>2320</v>
      </c>
    </row>
    <row r="78" spans="1:19">
      <c r="A78" s="5" t="s">
        <v>145</v>
      </c>
      <c r="B78" s="6">
        <v>44550</v>
      </c>
      <c r="C78">
        <v>20</v>
      </c>
      <c r="D78" t="s">
        <v>20</v>
      </c>
      <c r="E78">
        <v>2021</v>
      </c>
      <c r="F78">
        <v>35</v>
      </c>
      <c r="G78" s="3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11" t="s">
        <v>55</v>
      </c>
      <c r="N78">
        <v>1</v>
      </c>
      <c r="O78" s="12">
        <v>1266</v>
      </c>
      <c r="P78" s="12">
        <v>2320</v>
      </c>
      <c r="Q78" s="12">
        <v>1054</v>
      </c>
      <c r="R78" s="12">
        <f t="shared" si="4"/>
        <v>1266</v>
      </c>
      <c r="S78" s="12">
        <f t="shared" si="5"/>
        <v>2320</v>
      </c>
    </row>
    <row r="79" spans="1:19">
      <c r="A79" s="5" t="s">
        <v>146</v>
      </c>
      <c r="B79" s="6">
        <v>44551</v>
      </c>
      <c r="C79">
        <v>21</v>
      </c>
      <c r="D79" t="s">
        <v>20</v>
      </c>
      <c r="E79">
        <v>2021</v>
      </c>
      <c r="F79">
        <v>26</v>
      </c>
      <c r="G79" s="3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11" t="s">
        <v>55</v>
      </c>
      <c r="N79">
        <v>3</v>
      </c>
      <c r="O79" s="12">
        <v>1266</v>
      </c>
      <c r="P79" s="12">
        <v>2320</v>
      </c>
      <c r="Q79" s="12">
        <v>3162</v>
      </c>
      <c r="R79" s="12">
        <f t="shared" si="4"/>
        <v>3798</v>
      </c>
      <c r="S79" s="12">
        <f t="shared" si="5"/>
        <v>6960</v>
      </c>
    </row>
    <row r="80" spans="1:19">
      <c r="A80" s="5" t="s">
        <v>148</v>
      </c>
      <c r="B80" s="6">
        <v>44551</v>
      </c>
      <c r="C80">
        <v>21</v>
      </c>
      <c r="D80" t="s">
        <v>20</v>
      </c>
      <c r="E80">
        <v>2021</v>
      </c>
      <c r="F80">
        <v>23</v>
      </c>
      <c r="G80" s="3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11" t="s">
        <v>34</v>
      </c>
      <c r="N80">
        <v>2</v>
      </c>
      <c r="O80" s="12">
        <v>420</v>
      </c>
      <c r="P80" s="12">
        <v>769</v>
      </c>
      <c r="Q80" s="12">
        <v>698</v>
      </c>
      <c r="R80" s="12">
        <f t="shared" si="4"/>
        <v>840</v>
      </c>
      <c r="S80" s="12">
        <f t="shared" si="5"/>
        <v>1538</v>
      </c>
    </row>
    <row r="81" spans="1:19">
      <c r="A81" s="5" t="s">
        <v>149</v>
      </c>
      <c r="B81" s="6">
        <v>44552</v>
      </c>
      <c r="C81">
        <v>22</v>
      </c>
      <c r="D81" t="s">
        <v>20</v>
      </c>
      <c r="E81">
        <v>2021</v>
      </c>
      <c r="F81">
        <v>30</v>
      </c>
      <c r="G81" s="3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11" t="s">
        <v>55</v>
      </c>
      <c r="N81">
        <v>3</v>
      </c>
      <c r="O81" s="12">
        <v>1266</v>
      </c>
      <c r="P81" s="12">
        <v>2320</v>
      </c>
      <c r="Q81" s="12">
        <v>3162</v>
      </c>
      <c r="R81" s="12">
        <f t="shared" si="4"/>
        <v>3798</v>
      </c>
      <c r="S81" s="12">
        <f t="shared" si="5"/>
        <v>6960</v>
      </c>
    </row>
    <row r="82" spans="1:19">
      <c r="A82" s="5" t="s">
        <v>150</v>
      </c>
      <c r="B82" s="6">
        <v>44552</v>
      </c>
      <c r="C82">
        <v>22</v>
      </c>
      <c r="D82" t="s">
        <v>20</v>
      </c>
      <c r="E82">
        <v>2021</v>
      </c>
      <c r="F82">
        <v>41</v>
      </c>
      <c r="G82" s="3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11" t="s">
        <v>62</v>
      </c>
      <c r="N82">
        <v>3</v>
      </c>
      <c r="O82" s="12">
        <v>1252</v>
      </c>
      <c r="P82" s="12">
        <v>2295</v>
      </c>
      <c r="Q82" s="12">
        <v>3129</v>
      </c>
      <c r="R82" s="12">
        <f t="shared" si="4"/>
        <v>3756</v>
      </c>
      <c r="S82" s="12">
        <f t="shared" si="5"/>
        <v>6885</v>
      </c>
    </row>
    <row r="83" spans="1:19">
      <c r="A83" s="5" t="s">
        <v>151</v>
      </c>
      <c r="B83" s="6">
        <v>44552</v>
      </c>
      <c r="C83">
        <v>22</v>
      </c>
      <c r="D83" t="s">
        <v>20</v>
      </c>
      <c r="E83">
        <v>2021</v>
      </c>
      <c r="F83">
        <v>19</v>
      </c>
      <c r="G83" s="3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11" t="s">
        <v>69</v>
      </c>
      <c r="N83">
        <v>1</v>
      </c>
      <c r="O83" s="12">
        <v>308</v>
      </c>
      <c r="P83" s="12">
        <v>565</v>
      </c>
      <c r="Q83" s="12">
        <v>257</v>
      </c>
      <c r="R83" s="12">
        <f t="shared" si="4"/>
        <v>308</v>
      </c>
      <c r="S83" s="12">
        <f t="shared" si="5"/>
        <v>565</v>
      </c>
    </row>
    <row r="84" spans="1:19">
      <c r="A84" s="5" t="s">
        <v>152</v>
      </c>
      <c r="B84" s="6">
        <v>44552</v>
      </c>
      <c r="C84">
        <v>22</v>
      </c>
      <c r="D84" t="s">
        <v>20</v>
      </c>
      <c r="E84">
        <v>2021</v>
      </c>
      <c r="F84">
        <v>25</v>
      </c>
      <c r="G84" s="3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11" t="s">
        <v>44</v>
      </c>
      <c r="N84">
        <v>1</v>
      </c>
      <c r="O84" s="12">
        <v>1252</v>
      </c>
      <c r="P84" s="12">
        <v>2295</v>
      </c>
      <c r="Q84" s="12">
        <v>1043</v>
      </c>
      <c r="R84" s="12">
        <f t="shared" si="4"/>
        <v>1252</v>
      </c>
      <c r="S84" s="12">
        <f t="shared" si="5"/>
        <v>2295</v>
      </c>
    </row>
    <row r="85" spans="1:19">
      <c r="A85" s="5" t="s">
        <v>153</v>
      </c>
      <c r="B85" s="6">
        <v>44552</v>
      </c>
      <c r="C85">
        <v>22</v>
      </c>
      <c r="D85" t="s">
        <v>20</v>
      </c>
      <c r="E85">
        <v>2021</v>
      </c>
      <c r="F85">
        <v>27</v>
      </c>
      <c r="G85" s="3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11" t="s">
        <v>27</v>
      </c>
      <c r="N85">
        <v>1</v>
      </c>
      <c r="O85" s="12">
        <v>1252</v>
      </c>
      <c r="P85" s="12">
        <v>2295</v>
      </c>
      <c r="Q85" s="12">
        <v>1043</v>
      </c>
      <c r="R85" s="12">
        <f t="shared" si="4"/>
        <v>1252</v>
      </c>
      <c r="S85" s="12">
        <f t="shared" si="5"/>
        <v>2295</v>
      </c>
    </row>
    <row r="86" spans="1:19">
      <c r="A86" s="5" t="s">
        <v>154</v>
      </c>
      <c r="B86" s="6">
        <v>44552</v>
      </c>
      <c r="C86">
        <v>22</v>
      </c>
      <c r="D86" t="s">
        <v>20</v>
      </c>
      <c r="E86">
        <v>2021</v>
      </c>
      <c r="F86">
        <v>41</v>
      </c>
      <c r="G86" s="3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11" t="s">
        <v>55</v>
      </c>
      <c r="N86">
        <v>1</v>
      </c>
      <c r="O86" s="12">
        <v>1266</v>
      </c>
      <c r="P86" s="12">
        <v>2320</v>
      </c>
      <c r="Q86" s="12">
        <v>1054</v>
      </c>
      <c r="R86" s="12">
        <f t="shared" si="4"/>
        <v>1266</v>
      </c>
      <c r="S86" s="12">
        <f t="shared" si="5"/>
        <v>2320</v>
      </c>
    </row>
    <row r="87" spans="1:19">
      <c r="A87" s="5" t="s">
        <v>155</v>
      </c>
      <c r="B87" s="6">
        <v>44553</v>
      </c>
      <c r="C87">
        <v>23</v>
      </c>
      <c r="D87" t="s">
        <v>20</v>
      </c>
      <c r="E87">
        <v>2021</v>
      </c>
      <c r="F87">
        <v>30</v>
      </c>
      <c r="G87" s="3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11" t="s">
        <v>31</v>
      </c>
      <c r="N87">
        <v>1</v>
      </c>
      <c r="O87" s="12">
        <v>1266</v>
      </c>
      <c r="P87" s="12">
        <v>2320</v>
      </c>
      <c r="Q87" s="12">
        <v>1054</v>
      </c>
      <c r="R87" s="12">
        <f t="shared" si="4"/>
        <v>1266</v>
      </c>
      <c r="S87" s="12">
        <f t="shared" si="5"/>
        <v>2320</v>
      </c>
    </row>
    <row r="88" spans="1:19">
      <c r="A88" s="5" t="s">
        <v>156</v>
      </c>
      <c r="B88" s="6">
        <v>44553</v>
      </c>
      <c r="C88">
        <v>23</v>
      </c>
      <c r="D88" t="s">
        <v>20</v>
      </c>
      <c r="E88">
        <v>2021</v>
      </c>
      <c r="F88">
        <v>31</v>
      </c>
      <c r="G88" s="3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11" t="s">
        <v>62</v>
      </c>
      <c r="N88">
        <v>1</v>
      </c>
      <c r="O88" s="12">
        <v>1252</v>
      </c>
      <c r="P88" s="12">
        <v>2295</v>
      </c>
      <c r="Q88" s="12">
        <v>1043</v>
      </c>
      <c r="R88" s="12">
        <f t="shared" si="4"/>
        <v>1252</v>
      </c>
      <c r="S88" s="12">
        <f t="shared" si="5"/>
        <v>2295</v>
      </c>
    </row>
    <row r="89" spans="1:19">
      <c r="A89" s="5" t="s">
        <v>157</v>
      </c>
      <c r="B89" s="6">
        <v>44553</v>
      </c>
      <c r="C89">
        <v>23</v>
      </c>
      <c r="D89" t="s">
        <v>20</v>
      </c>
      <c r="E89">
        <v>2021</v>
      </c>
      <c r="F89">
        <v>35</v>
      </c>
      <c r="G89" s="3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11" t="s">
        <v>74</v>
      </c>
      <c r="N89">
        <v>1</v>
      </c>
      <c r="O89" s="12">
        <v>295</v>
      </c>
      <c r="P89" s="12">
        <v>540</v>
      </c>
      <c r="Q89" s="12">
        <v>245</v>
      </c>
      <c r="R89" s="12">
        <f t="shared" si="4"/>
        <v>295</v>
      </c>
      <c r="S89" s="12">
        <f t="shared" si="5"/>
        <v>540</v>
      </c>
    </row>
    <row r="90" spans="1:19">
      <c r="A90" s="5" t="s">
        <v>158</v>
      </c>
      <c r="B90" s="6">
        <v>44554</v>
      </c>
      <c r="C90">
        <v>24</v>
      </c>
      <c r="D90" t="s">
        <v>20</v>
      </c>
      <c r="E90">
        <v>2021</v>
      </c>
      <c r="F90">
        <v>38</v>
      </c>
      <c r="G90" s="3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11" t="s">
        <v>62</v>
      </c>
      <c r="N90">
        <v>4</v>
      </c>
      <c r="O90" s="12">
        <v>1252</v>
      </c>
      <c r="P90" s="12">
        <v>2295</v>
      </c>
      <c r="Q90" s="12">
        <v>4172</v>
      </c>
      <c r="R90" s="12">
        <f t="shared" si="4"/>
        <v>5008</v>
      </c>
      <c r="S90" s="12">
        <f t="shared" si="5"/>
        <v>9180</v>
      </c>
    </row>
  </sheetData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7BDC2F4-05A8-4939-A978-6A130ABDDACA}">
  <ds:schemaRefs/>
</ds:datastoreItem>
</file>

<file path=customXml/itemProps2.xml><?xml version="1.0" encoding="utf-8"?>
<ds:datastoreItem xmlns:ds="http://schemas.openxmlformats.org/officeDocument/2006/customXml" ds:itemID="{700A3249-61A6-4732-B467-CFA4F502C1D3}">
  <ds:schemaRefs/>
</ds:datastoreItem>
</file>

<file path=customXml/itemProps3.xml><?xml version="1.0" encoding="utf-8"?>
<ds:datastoreItem xmlns:ds="http://schemas.openxmlformats.org/officeDocument/2006/customXml" ds:itemID="{9E5FADC4-EE46-407D-8D50-74F069BFDC8B}">
  <ds:schemaRefs/>
</ds:datastoreItem>
</file>

<file path=customXml/itemProps4.xml><?xml version="1.0" encoding="utf-8"?>
<ds:datastoreItem xmlns:ds="http://schemas.openxmlformats.org/officeDocument/2006/customXml" ds:itemID="{B0E83AF8-2C50-4089-9716-0DC4D6C9EB5B}">
  <ds:schemaRefs/>
</ds:datastoreItem>
</file>

<file path=customXml/itemProps5.xml><?xml version="1.0" encoding="utf-8"?>
<ds:datastoreItem xmlns:ds="http://schemas.openxmlformats.org/officeDocument/2006/customXml" ds:itemID="{D25F29F6-D6A6-4C3D-A76F-CDB6C9AD689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6D4E15A9-7459-4742-899F-015E63755D56}">
  <ds:schemaRefs/>
</ds:datastoreItem>
</file>

<file path=customXml/itemProps7.xml><?xml version="1.0" encoding="utf-8"?>
<ds:datastoreItem xmlns:ds="http://schemas.openxmlformats.org/officeDocument/2006/customXml" ds:itemID="{114BEC54-960F-48FC-AFF8-473A176714A6}">
  <ds:schemaRefs/>
</ds:datastoreItem>
</file>

<file path=customXml/itemProps8.xml><?xml version="1.0" encoding="utf-8"?>
<ds:datastoreItem xmlns:ds="http://schemas.openxmlformats.org/officeDocument/2006/customXml" ds:itemID="{AB6EED05-EE7B-46EA-8F55-C78202F4FC65}">
  <ds:schemaRefs/>
</ds:datastoreItem>
</file>

<file path=customXml/itemProps9.xml><?xml version="1.0" encoding="utf-8"?>
<ds:datastoreItem xmlns:ds="http://schemas.openxmlformats.org/officeDocument/2006/customXml" ds:itemID="{32E7B66C-121A-4FF6-817D-524CC901CCAD}">
  <ds:schemaRefs/>
</ds:datastoreItem>
</file>

<file path=customXml/itemProps10.xml><?xml version="1.0" encoding="utf-8"?>
<ds:datastoreItem xmlns:ds="http://schemas.openxmlformats.org/officeDocument/2006/customXml" ds:itemID="{C280F990-9419-406B-8C75-BB0E95A96925}">
  <ds:schemaRefs/>
</ds:datastoreItem>
</file>

<file path=customXml/itemProps11.xml><?xml version="1.0" encoding="utf-8"?>
<ds:datastoreItem xmlns:ds="http://schemas.openxmlformats.org/officeDocument/2006/customXml" ds:itemID="{C543C0CD-C2B2-4BA9-AF12-E0A1FB1D9EDF}">
  <ds:schemaRefs/>
</ds:datastoreItem>
</file>

<file path=customXml/itemProps12.xml><?xml version="1.0" encoding="utf-8"?>
<ds:datastoreItem xmlns:ds="http://schemas.openxmlformats.org/officeDocument/2006/customXml" ds:itemID="{98510E32-AE85-4200-B533-4C9E7E0A5E9B}">
  <ds:schemaRefs/>
</ds:datastoreItem>
</file>

<file path=customXml/itemProps13.xml><?xml version="1.0" encoding="utf-8"?>
<ds:datastoreItem xmlns:ds="http://schemas.openxmlformats.org/officeDocument/2006/customXml" ds:itemID="{089C9B77-B6BE-4EEC-A5A0-93663EB74B43}">
  <ds:schemaRefs/>
</ds:datastoreItem>
</file>

<file path=customXml/itemProps14.xml><?xml version="1.0" encoding="utf-8"?>
<ds:datastoreItem xmlns:ds="http://schemas.openxmlformats.org/officeDocument/2006/customXml" ds:itemID="{813BD661-6D55-40C5-B43A-37DB92B278BC}">
  <ds:schemaRefs/>
</ds:datastoreItem>
</file>

<file path=customXml/itemProps15.xml><?xml version="1.0" encoding="utf-8"?>
<ds:datastoreItem xmlns:ds="http://schemas.openxmlformats.org/officeDocument/2006/customXml" ds:itemID="{6A77C7D5-983C-4B15-A63B-38F48A7EACDF}">
  <ds:schemaRefs/>
</ds:datastoreItem>
</file>

<file path=customXml/itemProps16.xml><?xml version="1.0" encoding="utf-8"?>
<ds:datastoreItem xmlns:ds="http://schemas.openxmlformats.org/officeDocument/2006/customXml" ds:itemID="{B37443E0-CABD-4838-A68E-2A7C9FC2C673}">
  <ds:schemaRefs/>
</ds:datastoreItem>
</file>

<file path=customXml/itemProps17.xml><?xml version="1.0" encoding="utf-8"?>
<ds:datastoreItem xmlns:ds="http://schemas.openxmlformats.org/officeDocument/2006/customXml" ds:itemID="{6CBF9A0D-A28F-446F-B1F8-0017ACEE25D5}">
  <ds:schemaRefs/>
</ds:datastoreItem>
</file>

<file path=customXml/itemProps18.xml><?xml version="1.0" encoding="utf-8"?>
<ds:datastoreItem xmlns:ds="http://schemas.openxmlformats.org/officeDocument/2006/customXml" ds:itemID="{8F4FBD67-94BE-49BC-B7F6-C398EFD7161B}">
  <ds:schemaRefs/>
</ds:datastoreItem>
</file>

<file path=customXml/itemProps19.xml><?xml version="1.0" encoding="utf-8"?>
<ds:datastoreItem xmlns:ds="http://schemas.openxmlformats.org/officeDocument/2006/customXml" ds:itemID="{6F641648-5C3F-4BD5-AEDE-BD921D2E3D8D}">
  <ds:schemaRefs/>
</ds:datastoreItem>
</file>

<file path=customXml/itemProps20.xml><?xml version="1.0" encoding="utf-8"?>
<ds:datastoreItem xmlns:ds="http://schemas.openxmlformats.org/officeDocument/2006/customXml" ds:itemID="{4E13624E-481B-4851-8964-C0AF5CD7CE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Data_Analysis</vt:lpstr>
      <vt:lpstr>Challenge_Activity_Profit</vt:lpstr>
      <vt:lpstr>fact_sales</vt:lpstr>
      <vt:lpstr>dim_customer</vt:lpstr>
      <vt:lpstr>dim_product</vt:lpstr>
      <vt:lpstr>dim_location</vt:lpstr>
      <vt:lpstr>dim_date</vt:lpstr>
      <vt:lpstr>Cleaned Data</vt:lpstr>
      <vt:lpstr>Cleaned Data (2)</vt:lpstr>
      <vt:lpstr>Uncleaned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Pickard, John</dc:creator>
  <cp:lastModifiedBy>Jocel L. Palma</cp:lastModifiedBy>
  <dcterms:created xsi:type="dcterms:W3CDTF">2022-11-04T20:14:00Z</dcterms:created>
  <dcterms:modified xsi:type="dcterms:W3CDTF">2026-02-27T01:47:26Z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  <property fmtid="{D5CDD505-2E9C-101B-9397-08002B2CF9AE}" pid="4" name="ICV">
    <vt:lpwstr>DEE87E5776EE467683F54334EB85FC2E_13</vt:lpwstr>
  </property>
  <property fmtid="{D5CDD505-2E9C-101B-9397-08002B2CF9AE}" pid="5" name="KSOProductBuildVer">
    <vt:lpwstr>1033-12.2.0.23196</vt:lpwstr>
  </property>
  <property fmtid="{D5CDD505-2E9C-101B-9397-08002B2CF9AE}" pid="6" name="MSIP_Label_8a813f4b-519a-4481-a498-85770f517757_Enabled">
    <vt:lpwstr>true</vt:lpwstr>
  </property>
  <property fmtid="{D5CDD505-2E9C-101B-9397-08002B2CF9AE}" pid="7" name="MSIP_Label_8a813f4b-519a-4481-a498-85770f517757_SetDate">
    <vt:lpwstr>2026-02-27T01:46:31Z</vt:lpwstr>
  </property>
  <property fmtid="{D5CDD505-2E9C-101B-9397-08002B2CF9AE}" pid="8" name="MSIP_Label_8a813f4b-519a-4481-a498-85770f517757_Method">
    <vt:lpwstr>Standard</vt:lpwstr>
  </property>
  <property fmtid="{D5CDD505-2E9C-101B-9397-08002B2CF9AE}" pid="9" name="MSIP_Label_8a813f4b-519a-4481-a498-85770f517757_Name">
    <vt:lpwstr>Anyone (unrestricted)</vt:lpwstr>
  </property>
  <property fmtid="{D5CDD505-2E9C-101B-9397-08002B2CF9AE}" pid="10" name="MSIP_Label_8a813f4b-519a-4481-a498-85770f517757_SiteId">
    <vt:lpwstr>1d981f77-3ca3-46ae-b0d4-e8044e6c7f84</vt:lpwstr>
  </property>
  <property fmtid="{D5CDD505-2E9C-101B-9397-08002B2CF9AE}" pid="11" name="MSIP_Label_8a813f4b-519a-4481-a498-85770f517757_ActionId">
    <vt:lpwstr>e77af8a8-220b-46b5-a790-60ac5071e30d</vt:lpwstr>
  </property>
  <property fmtid="{D5CDD505-2E9C-101B-9397-08002B2CF9AE}" pid="12" name="MSIP_Label_8a813f4b-519a-4481-a498-85770f517757_ContentBits">
    <vt:lpwstr>0</vt:lpwstr>
  </property>
  <property fmtid="{D5CDD505-2E9C-101B-9397-08002B2CF9AE}" pid="13" name="MSIP_Label_8a813f4b-519a-4481-a498-85770f517757_Tag">
    <vt:lpwstr>10, 3, 0, 1</vt:lpwstr>
  </property>
</Properties>
</file>