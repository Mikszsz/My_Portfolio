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COMLAB\Desktop\"/>
    </mc:Choice>
  </mc:AlternateContent>
  <bookViews>
    <workbookView xWindow="0" yWindow="0" windowWidth="28800" windowHeight="12300" tabRatio="724" firstSheet="2" activeTab="9"/>
  </bookViews>
  <sheets>
    <sheet name="Revenue Table" sheetId="9" r:id="rId1"/>
    <sheet name="Payment_Dim" sheetId="8" r:id="rId2"/>
    <sheet name="State_Dim" sheetId="7" r:id="rId3"/>
    <sheet name="Departmen_Dim" sheetId="6" r:id="rId4"/>
    <sheet name="Client_Dim" sheetId="4" r:id="rId5"/>
    <sheet name="Sheet2" sheetId="11" r:id="rId6"/>
    <sheet name="Sheet4" sheetId="13" r:id="rId7"/>
    <sheet name="Sheet3" sheetId="14" r:id="rId8"/>
    <sheet name="Sheet1" sheetId="10" r:id="rId9"/>
    <sheet name="Sales Dashboard" sheetId="12" r:id="rId10"/>
    <sheet name="Revenue_Fact" sheetId="5" r:id="rId11"/>
    <sheet name="Cleaning Dataset" sheetId="3" r:id="rId12"/>
    <sheet name="Dirty Data" sheetId="2" r:id="rId13"/>
  </sheets>
  <definedNames>
    <definedName name="_xlcn.WorksheetConnection_MendozaSales_Revenue_Dataset.xlsxClient_Dim1" hidden="1">Client_Dim[]</definedName>
    <definedName name="_xlcn.WorksheetConnection_MendozaSales_Revenue_Dataset.xlsxDepartment_Dim1" hidden="1">Department_Dim[]</definedName>
    <definedName name="_xlcn.WorksheetConnection_MendozaSales_Revenue_Dataset.xlsxPayment_Dim1" hidden="1">Payment_Dim[]</definedName>
    <definedName name="_xlcn.WorksheetConnection_MendozaSales_Revenue_Dataset.xlsxRevenue_Fact1" hidden="1">Revenue_Fact[]</definedName>
    <definedName name="_xlcn.WorksheetConnection_MendozaSales_Revenue_Dataset.xlsxState_Dim1" hidden="1">State_Dim[]</definedName>
    <definedName name="_xlcn.WorksheetConnection_MendozaSales_Revenue_Dataset.xlsxTable_ExternalData_11" hidden="1">Table_ExternalData_1[]</definedName>
    <definedName name="ExternalData_1" localSheetId="5" hidden="1">Sheet2!$A$3:$I$32</definedName>
    <definedName name="ExternalData_1" localSheetId="7" hidden="1">Sheet3!$A$3:$I$12</definedName>
    <definedName name="ExternalData_1" localSheetId="6" hidden="1">Sheet4!$A$3:$I$32</definedName>
    <definedName name="Slicer_Date">#N/A</definedName>
    <definedName name="Slicer_State">#N/A</definedName>
  </definedNames>
  <calcPr calcId="162913"/>
  <pivotCaches>
    <pivotCache cacheId="7454" r:id="rId14"/>
    <pivotCache cacheId="7457" r:id="rId15"/>
    <pivotCache cacheId="7460" r:id="rId16"/>
    <pivotCache cacheId="7463" r:id="rId17"/>
    <pivotCache cacheId="7466" r:id="rId18"/>
    <pivotCache cacheId="7469" r:id="rId19"/>
    <pivotCache cacheId="7472" r:id="rId20"/>
    <pivotCache cacheId="7475" r:id="rId21"/>
  </pivotCaches>
  <extLst>
    <ext xmlns:x14="http://schemas.microsoft.com/office/spreadsheetml/2009/9/main" uri="{876F7934-8845-4945-9796-88D515C7AA90}">
      <x14:pivotCaches>
        <pivotCache cacheId="1636"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Mendoza Sales_Revenue_Dataset.xlsx!Table_ExternalData_1"/>
          <x15:modelTable id="State_Dim" name="State_Dim" connection="WorksheetConnection_Mendoza Sales_Revenue_Dataset.xlsx!State_Dim"/>
          <x15:modelTable id="Revenue_Fact" name="Revenue_Fact" connection="WorksheetConnection_Mendoza Sales_Revenue_Dataset.xlsx!Revenue_Fact"/>
          <x15:modelTable id="Payment_Dim" name="Payment_Dim" connection="WorksheetConnection_Mendoza Sales_Revenue_Dataset.xlsx!Payment_Dim"/>
          <x15:modelTable id="Department_Dim" name="Department_Dim" connection="WorksheetConnection_Mendoza Sales_Revenue_Dataset.xlsx!Department_Dim"/>
          <x15:modelTable id="Client_Dim" name="Client_Dim" connection="WorksheetConnection_Mendoza Sales_Revenue_Dataset.xlsx!Client_Dim"/>
        </x15:modelTables>
        <x15:modelRelationships>
          <x15:modelRelationship fromTable="Revenue_Fact" fromColumn="Client_id" toTable="Client_Dim" toColumn="Client_id"/>
          <x15:modelRelationship fromTable="Revenue_Fact" fromColumn="Payment_id" toTable="Payment_Dim" toColumn="Payment_Id"/>
          <x15:modelRelationship fromTable="Revenue_Fact" fromColumn="State_id" toTable="State_Dim" toColumn="State_id"/>
          <x15:modelRelationship fromTable="Revenue_Fact" fromColumn="Department_id" toTable="Department_Dim" toColumn="Department_id"/>
        </x15:modelRelationships>
        <x15:extLst>
          <ext xmlns:x16="http://schemas.microsoft.com/office/spreadsheetml/2014/11/main" uri="{9835A34E-60A6-4A7C-AAB8-D5F71C897F49}">
            <x16:modelTimeGroupings>
              <x16:modelTimeGrouping tableName="Table_ExternalData_1" columnName="Revenue_Fact[Date]" columnId="Revenue_Fact Date">
                <x16:calculatedTimeColumn columnName="Revenue_Fact[Date] (Month Index)" columnId="Revenue_Fact Date  (Month Index)" contentType="monthsindex" isSelected="1"/>
                <x16:calculatedTimeColumn columnName="Revenue_Fact[Date] (Month)" columnId="Revenue_Fac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3" l="1"/>
  <c r="K6" i="3"/>
  <c r="K8" i="3"/>
  <c r="K9" i="3"/>
  <c r="K10" i="3"/>
  <c r="K11" i="3"/>
  <c r="K12" i="3"/>
  <c r="K13" i="3"/>
  <c r="K14" i="3"/>
  <c r="K15" i="3"/>
  <c r="K17" i="3"/>
  <c r="K18" i="3"/>
  <c r="K19" i="3"/>
  <c r="K20" i="3"/>
  <c r="K21" i="3"/>
  <c r="K22" i="3"/>
  <c r="K23" i="3"/>
  <c r="K24" i="3"/>
  <c r="K25" i="3"/>
  <c r="K26" i="3"/>
  <c r="K27" i="3"/>
  <c r="K28" i="3"/>
  <c r="K29" i="3"/>
  <c r="K30" i="3"/>
  <c r="K7" i="3"/>
  <c r="K5" i="3"/>
  <c r="K4" i="3"/>
  <c r="K3" i="3"/>
  <c r="I10" i="2"/>
  <c r="I9" i="2"/>
  <c r="I7" i="2"/>
  <c r="I6" i="2"/>
  <c r="G7" i="12"/>
  <c r="S6" i="12"/>
  <c r="O7" i="12"/>
  <c r="K6" i="12"/>
  <c r="I22" i="2" l="1"/>
  <c r="I21" i="2"/>
  <c r="I33" i="2"/>
  <c r="I32" i="2"/>
  <c r="I31" i="2"/>
  <c r="I30" i="2"/>
  <c r="I29" i="2"/>
  <c r="I28" i="2"/>
  <c r="I27" i="2"/>
  <c r="I26" i="2"/>
  <c r="I25" i="2"/>
  <c r="I24" i="2"/>
  <c r="I23" i="2"/>
  <c r="I20" i="2"/>
  <c r="I19" i="2"/>
  <c r="I18" i="2"/>
  <c r="I17" i="2"/>
  <c r="I16" i="2"/>
  <c r="I15" i="2"/>
  <c r="I14" i="2"/>
  <c r="I13" i="2"/>
  <c r="I12" i="2"/>
  <c r="I11" i="2"/>
  <c r="I8" i="2"/>
  <c r="I5" i="2"/>
  <c r="I4" i="2"/>
  <c r="I3" i="2"/>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RILLTHROUGH MAXROWS 1000 SELECT FROM [Model] WHERE ([Measures].[Sum of Profit]) RETURN [$Revenue_Fact].[Trans_id],[$Revenue_Fact].[Date],[$Revenue_Fact].[Client_id],[$Revenue_Fact].[Department_id],[$Revenue_Fact].[State_id],[$Revenue_Fact].[Payment_id],[$Revenue_Fact].[Revenue],[$Revenue_Fact].[Profit],[$Revenue_Fact].[Profit Margin]" commandType="4"/>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DRILLTHROUGH MAXROWS 1000 SELECT FROM [Model] WHERE ([Measures].[Sum of Revenue]) RETURN [$Revenue_Fact].[Trans_id],[$Revenue_Fact].[Date],[$Revenue_Fact].[Client_id],[$Revenue_Fact].[Department_id],[$Revenue_Fact].[State_id],[$Revenue_Fact].[Payment_id],[$Revenue_Fact].[Revenue],[$Revenue_Fact].[Profit],[$Revenue_Fact].[Profit Margin]" commandType="4"/>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DRILLTHROUGH MAXROWS 1000 SELECT FROM [Model] WHERE ([State_Dim].[State].&amp;[New York],[Measures].[Sum of Revenue]) RETURN [$Revenue_Fact].[Trans_id],[$Revenue_Fact].[Date],[$Revenue_Fact].[Client_id],[$Revenue_Fact].[Department_id],[$Revenue_Fact].[State_id],[$Revenue_Fact].[Payment_id],[$Revenue_Fact].[Revenue],[$Revenue_Fact].[Profit],[$Revenue_Fact].[Profit Margin]" commandType="4"/>
    <extLst>
      <ext xmlns:x15="http://schemas.microsoft.com/office/spreadsheetml/2010/11/main" uri="{DE250136-89BD-433C-8126-D09CA5730AF9}">
        <x15:connection id="" model="1"/>
      </ext>
    </extLst>
  </connection>
  <connection id="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name="WorksheetConnection_Mendoza Sales_Revenue_Dataset.xlsx!Client_Dim" type="102" refreshedVersion="6" minRefreshableVersion="5">
    <extLst>
      <ext xmlns:x15="http://schemas.microsoft.com/office/spreadsheetml/2010/11/main" uri="{DE250136-89BD-433C-8126-D09CA5730AF9}">
        <x15:connection id="Client_Dim">
          <x15:rangePr sourceName="_xlcn.WorksheetConnection_MendozaSales_Revenue_Dataset.xlsxClient_Dim1"/>
        </x15:connection>
      </ext>
    </extLst>
  </connection>
  <connection id="6" name="WorksheetConnection_Mendoza Sales_Revenue_Dataset.xlsx!Department_Dim" type="102" refreshedVersion="6" minRefreshableVersion="5">
    <extLst>
      <ext xmlns:x15="http://schemas.microsoft.com/office/spreadsheetml/2010/11/main" uri="{DE250136-89BD-433C-8126-D09CA5730AF9}">
        <x15:connection id="Department_Dim">
          <x15:rangePr sourceName="_xlcn.WorksheetConnection_MendozaSales_Revenue_Dataset.xlsxDepartment_Dim1"/>
        </x15:connection>
      </ext>
    </extLst>
  </connection>
  <connection id="7" name="WorksheetConnection_Mendoza Sales_Revenue_Dataset.xlsx!Payment_Dim" type="102" refreshedVersion="6" minRefreshableVersion="5">
    <extLst>
      <ext xmlns:x15="http://schemas.microsoft.com/office/spreadsheetml/2010/11/main" uri="{DE250136-89BD-433C-8126-D09CA5730AF9}">
        <x15:connection id="Payment_Dim">
          <x15:rangePr sourceName="_xlcn.WorksheetConnection_MendozaSales_Revenue_Dataset.xlsxPayment_Dim1"/>
        </x15:connection>
      </ext>
    </extLst>
  </connection>
  <connection id="8" name="WorksheetConnection_Mendoza Sales_Revenue_Dataset.xlsx!Revenue_Fact" type="102" refreshedVersion="6" minRefreshableVersion="5">
    <extLst>
      <ext xmlns:x15="http://schemas.microsoft.com/office/spreadsheetml/2010/11/main" uri="{DE250136-89BD-433C-8126-D09CA5730AF9}">
        <x15:connection id="Revenue_Fact">
          <x15:rangePr sourceName="_xlcn.WorksheetConnection_MendozaSales_Revenue_Dataset.xlsxRevenue_Fact1"/>
        </x15:connection>
      </ext>
    </extLst>
  </connection>
  <connection id="9" name="WorksheetConnection_Mendoza Sales_Revenue_Dataset.xlsx!State_Dim" type="102" refreshedVersion="6" minRefreshableVersion="5">
    <extLst>
      <ext xmlns:x15="http://schemas.microsoft.com/office/spreadsheetml/2010/11/main" uri="{DE250136-89BD-433C-8126-D09CA5730AF9}">
        <x15:connection id="State_Dim">
          <x15:rangePr sourceName="_xlcn.WorksheetConnection_MendozaSales_Revenue_Dataset.xlsxState_Dim1"/>
        </x15:connection>
      </ext>
    </extLst>
  </connection>
  <connection id="10" name="WorksheetConnection_Mendoza Sales_Revenue_Dataset.xlsx!Table_ExternalData_1" type="102" refreshedVersion="6" minRefreshableVersion="5">
    <extLst>
      <ext xmlns:x15="http://schemas.microsoft.com/office/spreadsheetml/2010/11/main" uri="{DE250136-89BD-433C-8126-D09CA5730AF9}">
        <x15:connection id="Table_ExternalData_1">
          <x15:rangePr sourceName="_xlcn.WorksheetConnection_MendozaSales_Revenue_Dataset.xlsxTable_ExternalData_11"/>
        </x15:connection>
      </ext>
    </extLst>
  </connection>
</connections>
</file>

<file path=xl/sharedStrings.xml><?xml version="1.0" encoding="utf-8"?>
<sst xmlns="http://schemas.openxmlformats.org/spreadsheetml/2006/main" count="704" uniqueCount="263">
  <si>
    <t>Date</t>
  </si>
  <si>
    <t>Contact</t>
  </si>
  <si>
    <t>Revenue</t>
  </si>
  <si>
    <t>Profit</t>
  </si>
  <si>
    <t>Profit Margin</t>
  </si>
  <si>
    <t>Client</t>
  </si>
  <si>
    <t>Department</t>
  </si>
  <si>
    <t>AMAZON.COM, INC. (XNAS:AMZN)</t>
  </si>
  <si>
    <t>TESLA, INC. (XNAS:TSLA)</t>
  </si>
  <si>
    <t>NETFLIX, INC. (XNAS:NFLX)</t>
  </si>
  <si>
    <t>THE PROCTER &amp; GAMBLE COMPANY (XNYS:PG)</t>
  </si>
  <si>
    <t>THE GOLDMAN SACHS GROUP, INC. (XNYS:GS)</t>
  </si>
  <si>
    <t>JPMORGAN CHASE &amp; CO. (XNYS:JPM)</t>
  </si>
  <si>
    <t>MORGAN STANLEY (XNYS:MS)</t>
  </si>
  <si>
    <t>CITIGROUP INC. (XNYS:C)</t>
  </si>
  <si>
    <t>BANK OF AMERICA CORPORATION (XNYS:BAC)</t>
  </si>
  <si>
    <t>WALMART INC. (XNYS:WMT)</t>
  </si>
  <si>
    <t>TARGET CORPORATION (XNYS:TGT)</t>
  </si>
  <si>
    <t>COSTCO WHOLESALE CORPORATION (XNAS:COST)</t>
  </si>
  <si>
    <t>MCDONALD'S CORPORATION (XNYS:MCD)</t>
  </si>
  <si>
    <t>EXXON MOBIL CORPORATION (XNYS:XOM)</t>
  </si>
  <si>
    <t>VERIZON COMMUNICATIONS INC. (XNYS:VZ)</t>
  </si>
  <si>
    <t>THE HOME DEPOT, INC. (XNYS:HD)</t>
  </si>
  <si>
    <t>CISCO SYSTEMS, INC. (XNAS:CSCO)</t>
  </si>
  <si>
    <t>CHEVRON CORPORATION (XNYS:CVX)</t>
  </si>
  <si>
    <t>AT&amp;T INC. (XNYS:T)</t>
  </si>
  <si>
    <t>INTEL CORPORATION (XNAS:INTC)</t>
  </si>
  <si>
    <t>GENERAL MOTORS COMPANY (XNYS:GM)</t>
  </si>
  <si>
    <t>MICROSOFT CORPORATION (XNAS:MSFT)</t>
  </si>
  <si>
    <t>COMCAST CORPORATION (XNAS:CMCSA)</t>
  </si>
  <si>
    <t>DELL TECHNOLOGIES INC. (XNYS:DELL)</t>
  </si>
  <si>
    <t>JOHNSON &amp; JOHNSON (XNYS:JNJ)</t>
  </si>
  <si>
    <t>FEDEX CORPORATION (XNYS:FDX)</t>
  </si>
  <si>
    <t>GENERAL ELECTRIC COMPANY (XNYS:GE)</t>
  </si>
  <si>
    <t>LOCKHEED MARTIN CORPORATION (XNYS:LMT)</t>
  </si>
  <si>
    <t>Nyla Novak</t>
  </si>
  <si>
    <t>Kylee Townsend</t>
  </si>
  <si>
    <t>Nora Rollins</t>
  </si>
  <si>
    <t>Lucia Mckay</t>
  </si>
  <si>
    <t>Mik Naam</t>
  </si>
  <si>
    <t xml:space="preserve">     Bill SmITH</t>
  </si>
  <si>
    <t>KEN Singh</t>
  </si>
  <si>
    <t xml:space="preserve">  Harley        Fritz</t>
  </si>
  <si>
    <t>David    Rasmussen</t>
  </si>
  <si>
    <t>IVAN HINEY</t>
  </si>
  <si>
    <t>JONha Ma</t>
  </si>
  <si>
    <t xml:space="preserve">     Jordan Boone</t>
  </si>
  <si>
    <t>Payment</t>
  </si>
  <si>
    <t>Card</t>
  </si>
  <si>
    <t>PayPal</t>
  </si>
  <si>
    <t>Check</t>
  </si>
  <si>
    <t>Transfer</t>
  </si>
  <si>
    <t>BRENDAN Wallace</t>
  </si>
  <si>
    <t xml:space="preserve">     Conor Wise</t>
  </si>
  <si>
    <t>Steven     MIChael</t>
  </si>
  <si>
    <t>JoSE   Roach</t>
  </si>
  <si>
    <t>Franklin WRIGT</t>
  </si>
  <si>
    <t xml:space="preserve">   Alia       Thornton</t>
  </si>
  <si>
    <t>Denzel        Flores</t>
  </si>
  <si>
    <t>Bruno CordOVA</t>
  </si>
  <si>
    <t>jaylynn   napp</t>
  </si>
  <si>
    <t>Bruce RICH</t>
  </si>
  <si>
    <t xml:space="preserve">     Arturo Moore</t>
  </si>
  <si>
    <t>Bryce     Carpenter</t>
  </si>
  <si>
    <t>Jaidyn ANDERSEN</t>
  </si>
  <si>
    <t>MARK WALM</t>
  </si>
  <si>
    <t>HARRY LEE</t>
  </si>
  <si>
    <t>JOSH JOHNSON</t>
  </si>
  <si>
    <t>Cloud Tech_Texas</t>
  </si>
  <si>
    <t>Strategy_New York</t>
  </si>
  <si>
    <t>Operations_Florida</t>
  </si>
  <si>
    <t>Big Data_California</t>
  </si>
  <si>
    <t xml:space="preserve">AMAZON.COM, INC.  </t>
  </si>
  <si>
    <t xml:space="preserve">TESLA, INC.  </t>
  </si>
  <si>
    <t xml:space="preserve">NETFLIX, INC.  </t>
  </si>
  <si>
    <t xml:space="preserve">THE PROCTER &amp; GAMBLE COMPANY  </t>
  </si>
  <si>
    <t xml:space="preserve">THE GOLDMAN SACHS GROUP, INC.  </t>
  </si>
  <si>
    <t xml:space="preserve">JPMORGAN CHASE &amp; CO.  </t>
  </si>
  <si>
    <t xml:space="preserve">MORGAN STANLEY  </t>
  </si>
  <si>
    <t xml:space="preserve">CITIGROUP INC.  </t>
  </si>
  <si>
    <t xml:space="preserve">BANK OF AMERICA CORPORATION  </t>
  </si>
  <si>
    <t xml:space="preserve">WALMART INC.  </t>
  </si>
  <si>
    <t xml:space="preserve">TARGET CORPORATION  </t>
  </si>
  <si>
    <t xml:space="preserve">COSTCO WHOLESALE CORPORATION  </t>
  </si>
  <si>
    <t xml:space="preserve">MCDONALD'S CORPORATION  </t>
  </si>
  <si>
    <t xml:space="preserve">EXXON MOBIL CORPORATION  </t>
  </si>
  <si>
    <t xml:space="preserve">VERIZON COMMUNICATIONS INC.  </t>
  </si>
  <si>
    <t xml:space="preserve">THE HOME DEPOT, INC.  </t>
  </si>
  <si>
    <t xml:space="preserve">CISCO SYSTEMS, INC.  </t>
  </si>
  <si>
    <t xml:space="preserve">CHEVRON CORPORATION  </t>
  </si>
  <si>
    <t xml:space="preserve">AT&amp;T INC.  </t>
  </si>
  <si>
    <t xml:space="preserve">INTEL CORPORATION  </t>
  </si>
  <si>
    <t xml:space="preserve">GENERAL MOTORS COMPANY  </t>
  </si>
  <si>
    <t xml:space="preserve">MICROSOFT CORPORATION  </t>
  </si>
  <si>
    <t xml:space="preserve">COMCAST CORPORATION  </t>
  </si>
  <si>
    <t xml:space="preserve">DELL TECHNOLOGIES INC.  </t>
  </si>
  <si>
    <t xml:space="preserve">JOHNSON &amp; JOHNSON  </t>
  </si>
  <si>
    <t xml:space="preserve">FEDEX CORPORATION  </t>
  </si>
  <si>
    <t xml:space="preserve">GENERAL ELECTRIC COMPANY  </t>
  </si>
  <si>
    <t xml:space="preserve">LOCKHEED MARTIN CORPORATION  </t>
  </si>
  <si>
    <t>First Name</t>
  </si>
  <si>
    <t>Last Name</t>
  </si>
  <si>
    <t>Bill</t>
  </si>
  <si>
    <t>Smith</t>
  </si>
  <si>
    <t>Ken</t>
  </si>
  <si>
    <t>Singh</t>
  </si>
  <si>
    <t>Harley</t>
  </si>
  <si>
    <t>Fritz</t>
  </si>
  <si>
    <t>Nyla</t>
  </si>
  <si>
    <t>Novak</t>
  </si>
  <si>
    <t>David</t>
  </si>
  <si>
    <t>Rasmussen</t>
  </si>
  <si>
    <t>Ivan</t>
  </si>
  <si>
    <t>Hiney</t>
  </si>
  <si>
    <t>Jonha</t>
  </si>
  <si>
    <t>Ma</t>
  </si>
  <si>
    <t>Jordan</t>
  </si>
  <si>
    <t>Boone</t>
  </si>
  <si>
    <t>Kylee</t>
  </si>
  <si>
    <t>Townsend</t>
  </si>
  <si>
    <t>Nora</t>
  </si>
  <si>
    <t>Rollins</t>
  </si>
  <si>
    <t>Brendan</t>
  </si>
  <si>
    <t>Wallace</t>
  </si>
  <si>
    <t>Conor</t>
  </si>
  <si>
    <t>Wise</t>
  </si>
  <si>
    <t>Steven</t>
  </si>
  <si>
    <t>Michael</t>
  </si>
  <si>
    <t>Lucia</t>
  </si>
  <si>
    <t>Mckay</t>
  </si>
  <si>
    <t>Jose</t>
  </si>
  <si>
    <t>Roach</t>
  </si>
  <si>
    <t>Franklin</t>
  </si>
  <si>
    <t>Wrigt</t>
  </si>
  <si>
    <t>Alia</t>
  </si>
  <si>
    <t>Thornton</t>
  </si>
  <si>
    <t>Denzel</t>
  </si>
  <si>
    <t>Flores</t>
  </si>
  <si>
    <t>Bruno</t>
  </si>
  <si>
    <t>Cordova</t>
  </si>
  <si>
    <t>Jaylynn</t>
  </si>
  <si>
    <t>Napp</t>
  </si>
  <si>
    <t>Bruce</t>
  </si>
  <si>
    <t>Rich</t>
  </si>
  <si>
    <t>Arturo</t>
  </si>
  <si>
    <t>Moore</t>
  </si>
  <si>
    <t>Bryce</t>
  </si>
  <si>
    <t>Carpenter</t>
  </si>
  <si>
    <t>Jaidyn</t>
  </si>
  <si>
    <t>Andersen</t>
  </si>
  <si>
    <t>Mark</t>
  </si>
  <si>
    <t>Walm</t>
  </si>
  <si>
    <t>Harry</t>
  </si>
  <si>
    <t>Lee</t>
  </si>
  <si>
    <t>Josh</t>
  </si>
  <si>
    <t>Johnson</t>
  </si>
  <si>
    <t>Mik</t>
  </si>
  <si>
    <t>Naam</t>
  </si>
  <si>
    <t>State</t>
  </si>
  <si>
    <t>Strategy</t>
  </si>
  <si>
    <t>Operations</t>
  </si>
  <si>
    <t>Florida</t>
  </si>
  <si>
    <t>Cloud Tech</t>
  </si>
  <si>
    <t>Texas</t>
  </si>
  <si>
    <t>New York</t>
  </si>
  <si>
    <t>Big Data</t>
  </si>
  <si>
    <t>California</t>
  </si>
  <si>
    <t>Other</t>
  </si>
  <si>
    <t>Client_id</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</si>
  <si>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</si>
  <si>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</si>
  <si>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</si>
  <si>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</si>
  <si>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</si>
  <si>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</si>
  <si>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</si>
  <si>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</si>
  <si>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</si>
  <si>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</si>
  <si>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</si>
  <si>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</si>
  <si>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</si>
  <si>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</si>
  <si>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</si>
  <si>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</si>
  <si>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</si>
  <si>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</si>
  <si>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</si>
  <si>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</si>
  <si>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</si>
  <si>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</si>
  <si>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</si>
  <si>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</si>
  <si>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</si>
  <si>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</si>
  <si>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</si>
  <si>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</si>
  <si>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State_id</t>
  </si>
  <si>
    <t>Payment_Id</t>
  </si>
  <si>
    <t>Revenue_Id</t>
  </si>
  <si>
    <t>Department_id</t>
  </si>
  <si>
    <t>Trans_id</t>
  </si>
  <si>
    <t>TR-101</t>
  </si>
  <si>
    <t>TR-102</t>
  </si>
  <si>
    <t>TR-103</t>
  </si>
  <si>
    <t>TR-104</t>
  </si>
  <si>
    <t>TR-105</t>
  </si>
  <si>
    <t>TR-106</t>
  </si>
  <si>
    <t>TR-107</t>
  </si>
  <si>
    <t>TR-108</t>
  </si>
  <si>
    <t>TR-109</t>
  </si>
  <si>
    <t>TR-110</t>
  </si>
  <si>
    <t>TR-111</t>
  </si>
  <si>
    <t>TR-112</t>
  </si>
  <si>
    <t>TR-113</t>
  </si>
  <si>
    <t>TR-114</t>
  </si>
  <si>
    <t>TR-115</t>
  </si>
  <si>
    <t>TR-116</t>
  </si>
  <si>
    <t>TR-117</t>
  </si>
  <si>
    <t>TR-118</t>
  </si>
  <si>
    <t>TR-119</t>
  </si>
  <si>
    <t>TR-120</t>
  </si>
  <si>
    <t>TR-121</t>
  </si>
  <si>
    <t>TR-122</t>
  </si>
  <si>
    <t>TR-123</t>
  </si>
  <si>
    <t>TR-124</t>
  </si>
  <si>
    <t>TR-125</t>
  </si>
  <si>
    <t>TR-126</t>
  </si>
  <si>
    <t>TR-127</t>
  </si>
  <si>
    <t>TR-128</t>
  </si>
  <si>
    <t>Payment_id</t>
  </si>
  <si>
    <t>TR-129</t>
  </si>
  <si>
    <t>Sum of Revenue</t>
  </si>
  <si>
    <t>2. Total profit</t>
  </si>
  <si>
    <t>Sum of Profit</t>
  </si>
  <si>
    <t>3. Average Profit</t>
  </si>
  <si>
    <t>Average of Profit</t>
  </si>
  <si>
    <t>3-1 Average Profit Margin</t>
  </si>
  <si>
    <t>1. Total Revenue</t>
  </si>
  <si>
    <t>Average of Profit Margin</t>
  </si>
  <si>
    <t>Revenue_Fact[Trans_id]</t>
  </si>
  <si>
    <t>Revenue_Fact[Date]</t>
  </si>
  <si>
    <t>Revenue_Fact[Client_id]</t>
  </si>
  <si>
    <t>Revenue_Fact[Department_id]</t>
  </si>
  <si>
    <t>Revenue_Fact[State_id]</t>
  </si>
  <si>
    <t>Revenue_Fact[Payment_id]</t>
  </si>
  <si>
    <t>Revenue_Fact[Revenue]</t>
  </si>
  <si>
    <t>Revenue_Fact[Profit]</t>
  </si>
  <si>
    <t>Revenue_Fact[Profit Margin]</t>
  </si>
  <si>
    <t>Data returned for Sum of Profit (First 1000 rows).</t>
  </si>
  <si>
    <t>4. State with Highest Revenue</t>
  </si>
  <si>
    <t>Total Revenue</t>
  </si>
  <si>
    <t>Total Profit</t>
  </si>
  <si>
    <t>5-1 State with Client Revenue</t>
  </si>
  <si>
    <t>May</t>
  </si>
  <si>
    <t>Jun</t>
  </si>
  <si>
    <t>5-2 TOP 5 CLIENTS</t>
  </si>
  <si>
    <t>SALES DASHBOARD FOR COMPANY A</t>
  </si>
  <si>
    <t>Data returned for Sum of Revenue (First 1000 rows).</t>
  </si>
  <si>
    <t>6. Display the Month with Highest Revenue</t>
  </si>
  <si>
    <t>MICROSOFT CORPORATION</t>
  </si>
  <si>
    <t>Data returned for Sum of Revenue, New York (First 1000 rows).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</si>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</sst>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quot;$&quot;#,##0_);[Red]\(&quot;$&quot;#,##0\)"/>
    <numFmt numFmtId="165" formatCode="0.0%"/>
    <numFmt numFmtId="166" formatCode="mm/dd/yy;@"/>
    <numFmt numFmtId="167" formatCode="_-[$$-409]* #,##0.00_ ;_-[$$-409]* \-#,##0.00\ ;_-[$$-409]* &quot;-&quot;??_ ;_-@_ "/>
    <numFmt numFmtId="168" formatCode="&quot;$&quot;#,##0.00_);[Red]\(&quot;$&quot;#,##0.00\)"/>
  </numFmts>
  <fonts count="9" x14ac:knownFonts="1">
    <font>
      <sz val="12"/>
      <color theme="1"/>
      <name val="Calibri"/>
      <family val="2"/>
      <scheme val="minor"/>
    </font>
    <font>
      <sz val="11"/>
      <color theme="1"/>
      <name val="Calibri"/>
      <family val="2"/>
      <scheme val="minor"/>
    </font>
    <font>
      <sz val="12"/>
      <color theme="1"/>
      <name val="Calibri"/>
      <family val="2"/>
      <scheme val="minor"/>
    </font>
    <font>
      <b/>
      <sz val="18"/>
      <color theme="1"/>
      <name val="Calibri"/>
      <family val="2"/>
      <scheme val="minor"/>
    </font>
    <font>
      <b/>
      <sz val="18"/>
      <name val="Calibri"/>
      <family val="2"/>
      <scheme val="minor"/>
    </font>
    <font>
      <b/>
      <sz val="12"/>
      <color rgb="FFC00000"/>
      <name val="Calibri"/>
      <family val="2"/>
      <scheme val="minor"/>
    </font>
    <font>
      <sz val="12"/>
      <color theme="0"/>
      <name val="Calibri"/>
      <family val="2"/>
      <scheme val="minor"/>
    </font>
    <font>
      <b/>
      <sz val="12"/>
      <color rgb="FFFF0000"/>
      <name val="Calibri"/>
      <family val="2"/>
      <scheme val="minor"/>
    </font>
    <font>
      <b/>
      <sz val="28"/>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5"/>
      </patternFill>
    </fill>
    <fill>
      <patternFill patternType="solid">
        <fgColor theme="8" tint="0.39997558519241921"/>
        <bgColor indexed="64"/>
      </patternFill>
    </fill>
  </fills>
  <borders count="1">
    <border>
      <left/>
      <right/>
      <top/>
      <bottom/>
      <diagonal/>
    </border>
  </borders>
  <cellStyleXfs count="4">
    <xf numFmtId="0" fontId="0" fillId="0" borderId="0"/>
    <xf numFmtId="9" fontId="2" fillId="0" borderId="0" applyFont="0" applyFill="0" applyBorder="0" applyAlignment="0" applyProtection="0"/>
    <xf numFmtId="44" fontId="2" fillId="0" borderId="0" applyFont="0" applyFill="0" applyBorder="0" applyAlignment="0" applyProtection="0"/>
    <xf numFmtId="0" fontId="1" fillId="3" borderId="0" applyNumberFormat="0" applyBorder="0" applyAlignment="0" applyProtection="0"/>
  </cellStyleXfs>
  <cellXfs count="25">
    <xf numFmtId="0" fontId="0" fillId="0" borderId="0" xfId="0"/>
    <xf numFmtId="164" fontId="0" fillId="0" borderId="0" xfId="0" applyNumberFormat="1" applyAlignment="1">
      <alignment horizontal="center"/>
    </xf>
    <xf numFmtId="165" fontId="0" fillId="0" borderId="0" xfId="1" applyNumberFormat="1" applyFont="1"/>
    <xf numFmtId="14" fontId="0" fillId="0" borderId="0" xfId="0" applyNumberFormat="1"/>
    <xf numFmtId="0" fontId="3" fillId="2" borderId="0" xfId="0" applyFont="1" applyFill="1" applyAlignment="1">
      <alignment horizontal="center"/>
    </xf>
    <xf numFmtId="166" fontId="0" fillId="0" borderId="0" xfId="0" applyNumberFormat="1"/>
    <xf numFmtId="167" fontId="0" fillId="0" borderId="0" xfId="1" applyNumberFormat="1" applyFont="1" applyAlignment="1">
      <alignment horizontal="center"/>
    </xf>
    <xf numFmtId="9" fontId="0" fillId="0" borderId="0" xfId="1" applyNumberFormat="1" applyFont="1"/>
    <xf numFmtId="167" fontId="0" fillId="0" borderId="0" xfId="1" applyNumberFormat="1" applyFont="1" applyFill="1" applyAlignment="1">
      <alignment horizontal="center"/>
    </xf>
    <xf numFmtId="168" fontId="0" fillId="0" borderId="0" xfId="0" applyNumberFormat="1" applyAlignment="1">
      <alignment horizontal="center"/>
    </xf>
    <xf numFmtId="0" fontId="4" fillId="2" borderId="0" xfId="0" applyFont="1" applyFill="1" applyAlignment="1">
      <alignment horizontal="center"/>
    </xf>
    <xf numFmtId="9" fontId="0" fillId="0" borderId="0" xfId="1" applyFont="1" applyAlignment="1">
      <alignment horizontal="center"/>
    </xf>
    <xf numFmtId="9" fontId="0" fillId="0" borderId="0" xfId="0" applyNumberFormat="1"/>
    <xf numFmtId="167" fontId="0" fillId="0" borderId="0" xfId="0" applyNumberFormat="1"/>
    <xf numFmtId="0" fontId="5" fillId="0" borderId="0" xfId="0" applyFont="1"/>
    <xf numFmtId="0" fontId="0" fillId="0" borderId="0" xfId="0" pivotButton="1"/>
    <xf numFmtId="0" fontId="0" fillId="0" borderId="0" xfId="0" applyAlignment="1">
      <alignment horizontal="left"/>
    </xf>
    <xf numFmtId="0" fontId="7" fillId="0" borderId="0" xfId="0" applyFont="1"/>
    <xf numFmtId="0" fontId="1" fillId="3" borderId="0" xfId="3"/>
    <xf numFmtId="0" fontId="8" fillId="3" borderId="0" xfId="3" applyFont="1"/>
    <xf numFmtId="0" fontId="0" fillId="4" borderId="0" xfId="0" applyFill="1"/>
    <xf numFmtId="167" fontId="0" fillId="4" borderId="0" xfId="0" applyNumberFormat="1" applyFill="1"/>
    <xf numFmtId="167" fontId="6" fillId="4" borderId="0" xfId="0" applyNumberFormat="1" applyFont="1" applyFill="1"/>
    <xf numFmtId="167" fontId="0" fillId="4" borderId="0" xfId="2" applyNumberFormat="1" applyFont="1" applyFill="1"/>
    <xf numFmtId="9" fontId="6" fillId="4" borderId="0" xfId="1" applyFont="1" applyFill="1"/>
  </cellXfs>
  <cellStyles count="4">
    <cellStyle name="40% - Accent6" xfId="3" builtinId="51"/>
    <cellStyle name="Currency" xfId="2" builtinId="4"/>
    <cellStyle name="Normal" xfId="0" builtinId="0"/>
    <cellStyle name="Percent" xfId="1" builtinId="5"/>
  </cellStyles>
  <dxfs count="1391">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3" formatCode="0%"/>
    </dxf>
    <dxf>
      <numFmt numFmtId="13" formatCode="0%"/>
    </dxf>
    <dxf>
      <numFmt numFmtId="34" formatCode="_-&quot;₱&quot;* #,##0.00_-;\-&quot;₱&quot;* #,##0.00_-;_-&quot;₱&quot;* &quot;-&quot;??_-;_-@_-"/>
    </dxf>
    <dxf>
      <numFmt numFmtId="13" formatCode="0%"/>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34" formatCode="_-&quot;₱&quot;* #,##0.00_-;\-&quot;₱&quot;* #,##0.00_-;_-&quot;₱&quot;* &quot;-&quot;??_-;_-@_-"/>
    </dxf>
    <dxf>
      <numFmt numFmtId="167" formatCode="_-[$$-409]* #,##0.00_ ;_-[$$-409]* \-#,##0.00\ ;_-[$$-409]* &quot;-&quot;??_ ;_-@_ "/>
    </dxf>
    <dxf>
      <numFmt numFmtId="19" formatCode="dd/mm/yyyy"/>
    </dxf>
    <dxf>
      <font>
        <color rgb="FF9C0006"/>
      </font>
      <fill>
        <patternFill>
          <bgColor rgb="FFFFC7CE"/>
        </patternFill>
      </fill>
    </dxf>
    <dxf>
      <alignment horizontal="center" vertical="bottom" textRotation="0" wrapText="0" indent="0" justifyLastLine="0" shrinkToFit="0" readingOrder="0"/>
    </dxf>
    <dxf>
      <numFmt numFmtId="168"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7" formatCode="_-[$$-409]* #,##0.00_ ;_-[$$-409]* \-#,##0.00\ ;_-[$$-409]* &quot;-&quot;??_ ;_-@_ "/>
      <alignment horizontal="center" vertical="bottom" textRotation="0" wrapText="0" indent="0" justifyLastLine="0" shrinkToFit="0" readingOrder="0"/>
    </dxf>
    <dxf>
      <numFmt numFmtId="166" formatCode="mm/dd/yy;@"/>
    </dxf>
    <dxf>
      <numFmt numFmtId="166" formatCode="mm/dd/yy;@"/>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
      <numFmt numFmtId="19" formatCode="dd/mm/yyyy"/>
    </dxf>
    <dxf>
      <numFmt numFmtId="19" formatCode="dd/mm/yyyy"/>
    </dxf>
    <dxf>
      <numFmt numFmtId="166" formatCode="mm/dd/yy;@"/>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auto="1"/>
        <name val="Calibri"/>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8.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7.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[DASHBOARD_Sales_Revenue_Dataset.xlsx]Sheet1! S_tot_rev</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 Revenue</a:t>
            </a:r>
          </a:p>
        </c:rich>
      </c:tx>
      <c:layout>
        <c:manualLayout>
          <c:xMode val="edge"/>
          <c:yMode val="edge"/>
          <c:x val="0.37939086294416241"/>
          <c:y val="3.83141762452107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Sheet1!$A$7</c:f>
              <c:strCache>
                <c:ptCount val="1"/>
                <c:pt idx="0">
                  <c:v>California</c:v>
                </c:pt>
              </c:strCache>
            </c:strRef>
          </c:cat>
          <c:val>
            <c:numRef>
              <c:f>Sheet1!$B$7</c:f>
              <c:numCache>
                <c:formatCode>_-[$$-409]* #,##0.00_ ;_-[$$-409]* \-#,##0.00\ ;_-[$$-409]* "-"??_ ;_-@_ </c:formatCode>
                <c:ptCount val="1"/>
                <c:pt idx="0">
                  <c:v>5250</c:v>
                </c:pt>
              </c:numCache>
            </c:numRef>
          </c:val>
          <c:extLst>
            <c:ext xmlns:c16="http://schemas.microsoft.com/office/drawing/2014/chart" uri="{C3380CC4-5D6E-409C-BE32-E72D297353CC}">
              <c16:uniqueId val="{0000000B-F96A-41B9-ACCA-86A4BCB6AB4E}"/>
            </c:ext>
          </c:extLst>
        </c:ser>
        <c:dLbls>
          <c:dLblPos val="inEnd"/>
          <c:showLegendKey val="0"/>
          <c:showVal val="1"/>
          <c:showCatName val="0"/>
          <c:showSerName val="0"/>
          <c:showPercent val="0"/>
          <c:showBubbleSize val="0"/>
        </c:dLbls>
        <c:gapWidth val="65"/>
        <c:axId val="1205671471"/>
        <c:axId val="1205668975"/>
      </c:barChart>
      <c:catAx>
        <c:axId val="12056714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5668975"/>
        <c:crosses val="autoZero"/>
        <c:auto val="1"/>
        <c:lblAlgn val="ctr"/>
        <c:lblOffset val="100"/>
        <c:noMultiLvlLbl val="0"/>
      </c:catAx>
      <c:valAx>
        <c:axId val="12056689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none"/>
        <c:minorTickMark val="none"/>
        <c:tickLblPos val="nextTo"/>
        <c:crossAx val="1205671471"/>
        <c:crosses val="autoZero"/>
        <c:crossBetween val="between"/>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[DASHBOARD_Sales_Revenue_Dataset.xlsx]Sheet1!S_Client_rev</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State with Client Revenue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1"/>
          <c:showSerName val="0"/>
          <c:showPercent val="1"/>
          <c:showBubbleSize val="0"/>
          <c:extLst>
            <c:ext xmlns:c15="http://schemas.microsoft.com/office/drawing/2012/chart" uri="{CE6537A1-D6FC-4f65-9D91-7224C49458BB}"/>
          </c:extLst>
        </c:dLbl>
      </c:pivotFmt>
      <c:pivotFmt>
        <c:idx val="13"/>
        <c:dLbl>
          <c:idx val="0"/>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1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Sheet1!$B$14</c:f>
              <c:strCache>
                <c:ptCount val="1"/>
                <c:pt idx="0">
                  <c:v>Total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Sheet1!$A$15</c:f>
              <c:strCache>
                <c:ptCount val="1"/>
                <c:pt idx="0">
                  <c:v>California</c:v>
                </c:pt>
              </c:strCache>
            </c:strRef>
          </c:cat>
          <c:val>
            <c:numRef>
              <c:f>Sheet1!$B$15</c:f>
              <c:numCache>
                <c:formatCode>_-[$$-409]* #,##0.00_ ;_-[$$-409]* \-#,##0.00\ ;_-[$$-409]* "-"??_ ;_-@_ </c:formatCode>
                <c:ptCount val="1"/>
                <c:pt idx="0">
                  <c:v>5250</c:v>
                </c:pt>
              </c:numCache>
            </c:numRef>
          </c:val>
          <c:extLst>
            <c:ext xmlns:c16="http://schemas.microsoft.com/office/drawing/2014/chart" uri="{C3380CC4-5D6E-409C-BE32-E72D297353CC}">
              <c16:uniqueId val="{00000056-C1AF-4077-959E-27B7559D45C7}"/>
            </c:ext>
          </c:extLst>
        </c:ser>
        <c:ser>
          <c:idx val="1"/>
          <c:order val="1"/>
          <c:tx>
            <c:strRef>
              <c:f>Sheet1!$C$14</c:f>
              <c:strCache>
                <c:ptCount val="1"/>
                <c:pt idx="0">
                  <c:v>Total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c:f>
              <c:strCache>
                <c:ptCount val="1"/>
                <c:pt idx="0">
                  <c:v>California</c:v>
                </c:pt>
              </c:strCache>
            </c:strRef>
          </c:cat>
          <c:val>
            <c:numRef>
              <c:f>Sheet1!$C$15</c:f>
              <c:numCache>
                <c:formatCode>_-[$$-409]* #,##0.00_ ;_-[$$-409]* \-#,##0.00\ ;_-[$$-409]* "-"??_ ;_-@_ </c:formatCode>
                <c:ptCount val="1"/>
                <c:pt idx="0">
                  <c:v>1349</c:v>
                </c:pt>
              </c:numCache>
            </c:numRef>
          </c:val>
          <c:extLst>
            <c:ext xmlns:c16="http://schemas.microsoft.com/office/drawing/2014/chart" uri="{C3380CC4-5D6E-409C-BE32-E72D297353CC}">
              <c16:uniqueId val="{00000057-C1AF-4077-959E-27B7559D45C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[DASHBOARD_Sales_Revenue_Dataset.xlsx]Sheet1!Top5_Client</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CLIENTS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Sheet1!$F$14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Sheet1!$E$15</c:f>
              <c:strCache>
                <c:ptCount val="1"/>
                <c:pt idx="0">
                  <c:v>MICROSOFT CORPORATION</c:v>
                </c:pt>
              </c:strCache>
            </c:strRef>
          </c:cat>
          <c:val>
            <c:numRef>
              <c:f>Sheet1!$F$15</c:f>
              <c:numCache>
                <c:formatCode>_-[$$-409]* #,##0.00_ ;_-[$$-409]* \-#,##0.00\ ;_-[$$-409]* "-"??_ ;_-@_ </c:formatCode>
                <c:ptCount val="1"/>
                <c:pt idx="0">
                  <c:v>5250</c:v>
                </c:pt>
              </c:numCache>
            </c:numRef>
          </c:val>
          <c:extLst>
            <c:ext xmlns:c16="http://schemas.microsoft.com/office/drawing/2014/chart" uri="{C3380CC4-5D6E-409C-BE32-E72D297353CC}">
              <c16:uniqueId val="{0000000B-A6B1-433E-A06C-1C2F159C8828}"/>
            </c:ext>
          </c:extLst>
        </c:ser>
        <c:dLbls>
          <c:showLegendKey val="0"/>
          <c:showVal val="0"/>
          <c:showCatName val="0"/>
          <c:showSerName val="0"/>
          <c:showPercent val="0"/>
          <c:showBubbleSize val="0"/>
        </c:dLbls>
        <c:gapWidth val="150"/>
        <c:shape val="box"/>
        <c:axId val="1946543631"/>
        <c:axId val="1946553199"/>
        <c:axId val="1215124847"/>
      </c:bar3DChart>
      <c:catAx>
        <c:axId val="1946543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53199"/>
        <c:crosses val="autoZero"/>
        <c:auto val="1"/>
        <c:lblAlgn val="ctr"/>
        <c:lblOffset val="100"/>
        <c:noMultiLvlLbl val="0"/>
      </c:catAx>
      <c:valAx>
        <c:axId val="194655319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43631"/>
        <c:crosses val="autoZero"/>
        <c:crossBetween val="between"/>
      </c:valAx>
      <c:serAx>
        <c:axId val="1215124847"/>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53199"/>
        <c:crosses val="autoZero"/>
      </c:ser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[DASHBOARD_Sales_Revenue_Dataset.xlsx]Sheet1!Date_highest_rev</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total revenue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Sheet1!$I$13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Sheet1!$H$14:$H$15</c:f>
              <c:strCache>
                <c:ptCount val="2"/>
                <c:pt idx="0">
                  <c:v>May</c:v>
                </c:pt>
                <c:pt idx="1">
                  <c:v>Jun</c:v>
                </c:pt>
              </c:strCache>
            </c:strRef>
          </c:cat>
          <c:val>
            <c:numRef>
              <c:f>Sheet1!$I$14:$I$15</c:f>
              <c:numCache>
                <c:formatCode>_-[$$-409]* #,##0.00_ ;_-[$$-409]* \-#,##0.00\ ;_-[$$-409]* "-"??_ ;_-@_ </c:formatCode>
                <c:ptCount val="2"/>
                <c:pt idx="0">
                  <c:v>56234.574910820455</c:v>
                </c:pt>
                <c:pt idx="1">
                  <c:v>79996.357669441146</c:v>
                </c:pt>
              </c:numCache>
            </c:numRef>
          </c:val>
          <c:extLst>
            <c:ext xmlns:c16="http://schemas.microsoft.com/office/drawing/2014/chart" uri="{C3380CC4-5D6E-409C-BE32-E72D297353CC}">
              <c16:uniqueId val="{00000000-C08D-430A-A673-08E0A03E5065}"/>
            </c:ext>
          </c:extLst>
        </c:ser>
        <c:dLbls>
          <c:showLegendKey val="0"/>
          <c:showVal val="0"/>
          <c:showCatName val="0"/>
          <c:showSerName val="0"/>
          <c:showPercent val="0"/>
          <c:showBubbleSize val="0"/>
        </c:dLbls>
        <c:gapWidth val="150"/>
        <c:shape val="box"/>
        <c:axId val="1946548623"/>
        <c:axId val="1946549871"/>
        <c:axId val="0"/>
      </c:bar3DChart>
      <c:catAx>
        <c:axId val="1946548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549871"/>
        <c:crosses val="autoZero"/>
        <c:auto val="1"/>
        <c:lblAlgn val="ctr"/>
        <c:lblOffset val="100"/>
        <c:noMultiLvlLbl val="0"/>
      </c:catAx>
      <c:valAx>
        <c:axId val="1946549871"/>
        <c:scaling>
          <c:orientation val="minMax"/>
        </c:scaling>
        <c:delete val="0"/>
        <c:axPos val="l"/>
        <c:majorGridlines>
          <c:spPr>
            <a:ln w="9525" cap="flat" cmpd="sng" algn="ctr">
              <a:solidFill>
                <a:schemeClr val="dk1">
                  <a:lumMod val="50000"/>
                  <a:lumOff val="5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54862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[DASHBOARD_Sales_Revenue_Dataset.xlsx]Sheet1! S_tot_rev</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 Revenue</a:t>
            </a:r>
          </a:p>
        </c:rich>
      </c:tx>
      <c:layout>
        <c:manualLayout>
          <c:xMode val="edge"/>
          <c:yMode val="edge"/>
          <c:x val="0.37939086294416241"/>
          <c:y val="3.83141762452107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Sheet1!$A$7</c:f>
              <c:strCache>
                <c:ptCount val="1"/>
                <c:pt idx="0">
                  <c:v>California</c:v>
                </c:pt>
              </c:strCache>
            </c:strRef>
          </c:cat>
          <c:val>
            <c:numRef>
              <c:f>Sheet1!$B$7</c:f>
              <c:numCache>
                <c:formatCode>_-[$$-409]* #,##0.00_ ;_-[$$-409]* \-#,##0.00\ ;_-[$$-409]* "-"??_ ;_-@_ </c:formatCode>
                <c:ptCount val="1"/>
                <c:pt idx="0">
                  <c:v>5250</c:v>
                </c:pt>
              </c:numCache>
            </c:numRef>
          </c:val>
          <c:extLst>
            <c:ext xmlns:c16="http://schemas.microsoft.com/office/drawing/2014/chart" uri="{C3380CC4-5D6E-409C-BE32-E72D297353CC}">
              <c16:uniqueId val="{0000000B-5096-47DC-A8F0-0DD433B2A35C}"/>
            </c:ext>
          </c:extLst>
        </c:ser>
        <c:dLbls>
          <c:dLblPos val="inEnd"/>
          <c:showLegendKey val="0"/>
          <c:showVal val="1"/>
          <c:showCatName val="0"/>
          <c:showSerName val="0"/>
          <c:showPercent val="0"/>
          <c:showBubbleSize val="0"/>
        </c:dLbls>
        <c:gapWidth val="65"/>
        <c:axId val="1205671471"/>
        <c:axId val="1205668975"/>
      </c:barChart>
      <c:catAx>
        <c:axId val="12056714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5668975"/>
        <c:crosses val="autoZero"/>
        <c:auto val="1"/>
        <c:lblAlgn val="ctr"/>
        <c:lblOffset val="100"/>
        <c:noMultiLvlLbl val="0"/>
      </c:catAx>
      <c:valAx>
        <c:axId val="12056689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none"/>
        <c:minorTickMark val="none"/>
        <c:tickLblPos val="nextTo"/>
        <c:crossAx val="1205671471"/>
        <c:crosses val="autoZero"/>
        <c:crossBetween val="between"/>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[DASHBOARD_Sales_Revenue_Dataset.xlsx]Sheet1!S_Client_rev</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with Client Revenue</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Sheet1!$B$14</c:f>
              <c:strCache>
                <c:ptCount val="1"/>
                <c:pt idx="0">
                  <c:v>Total Revenue</c:v>
                </c:pt>
              </c:strCache>
            </c:strRef>
          </c:tx>
          <c:dPt>
            <c:idx val="0"/>
            <c:bubble3D val="0"/>
            <c:spPr>
              <a:solidFill>
                <a:schemeClr val="accent1"/>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Sheet1!$A$15</c:f>
              <c:strCache>
                <c:ptCount val="1"/>
                <c:pt idx="0">
                  <c:v>California</c:v>
                </c:pt>
              </c:strCache>
            </c:strRef>
          </c:cat>
          <c:val>
            <c:numRef>
              <c:f>Sheet1!$B$15</c:f>
              <c:numCache>
                <c:formatCode>_-[$$-409]* #,##0.00_ ;_-[$$-409]* \-#,##0.00\ ;_-[$$-409]* "-"??_ ;_-@_ </c:formatCode>
                <c:ptCount val="1"/>
                <c:pt idx="0">
                  <c:v>5250</c:v>
                </c:pt>
              </c:numCache>
            </c:numRef>
          </c:val>
          <c:extLst>
            <c:ext xmlns:c16="http://schemas.microsoft.com/office/drawing/2014/chart" uri="{C3380CC4-5D6E-409C-BE32-E72D297353CC}">
              <c16:uniqueId val="{00000058-7CDD-4E68-BB1B-366CCB71A89B}"/>
            </c:ext>
          </c:extLst>
        </c:ser>
        <c:ser>
          <c:idx val="1"/>
          <c:order val="1"/>
          <c:tx>
            <c:strRef>
              <c:f>Sheet1!$C$14</c:f>
              <c:strCache>
                <c:ptCount val="1"/>
                <c:pt idx="0">
                  <c:v>Total Profit</c:v>
                </c:pt>
              </c:strCache>
            </c:strRef>
          </c:tx>
          <c:dPt>
            <c:idx val="0"/>
            <c:bubble3D val="0"/>
            <c:spPr>
              <a:solidFill>
                <a:schemeClr val="accent1"/>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Sheet1!$A$15</c:f>
              <c:strCache>
                <c:ptCount val="1"/>
                <c:pt idx="0">
                  <c:v>California</c:v>
                </c:pt>
              </c:strCache>
            </c:strRef>
          </c:cat>
          <c:val>
            <c:numRef>
              <c:f>Sheet1!$C$15</c:f>
              <c:numCache>
                <c:formatCode>_-[$$-409]* #,##0.00_ ;_-[$$-409]* \-#,##0.00\ ;_-[$$-409]* "-"??_ ;_-@_ </c:formatCode>
                <c:ptCount val="1"/>
                <c:pt idx="0">
                  <c:v>1349</c:v>
                </c:pt>
              </c:numCache>
            </c:numRef>
          </c:val>
          <c:extLst>
            <c:ext xmlns:c16="http://schemas.microsoft.com/office/drawing/2014/chart" uri="{C3380CC4-5D6E-409C-BE32-E72D297353CC}">
              <c16:uniqueId val="{00000059-7CDD-4E68-BB1B-366CCB71A89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209550</xdr:colOff>
      <xdr:row>25</xdr:row>
      <xdr:rowOff>28575</xdr:rowOff>
    </xdr:from>
    <xdr:to>
      <xdr:col>4</xdr:col>
      <xdr:colOff>19050</xdr:colOff>
      <xdr:row>33</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323850</xdr:colOff>
      <xdr:row>34</xdr:row>
      <xdr:rowOff>38100</xdr:rowOff>
    </xdr:from>
    <xdr:to>
      <xdr:col>3</xdr:col>
      <xdr:colOff>276225</xdr:colOff>
      <xdr:row>46</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47</xdr:row>
      <xdr:rowOff>9525</xdr:rowOff>
    </xdr:from>
    <xdr:to>
      <xdr:col>3</xdr:col>
      <xdr:colOff>638175</xdr:colOff>
      <xdr:row>58</xdr:row>
      <xdr:rowOff>171450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219075</xdr:colOff>
      <xdr:row>60</xdr:row>
      <xdr:rowOff>0</xdr:rowOff>
    </xdr:from>
    <xdr:to>
      <xdr:col>4</xdr:col>
      <xdr:colOff>847725</xdr:colOff>
      <xdr:row>73</xdr:row>
      <xdr:rowOff>142875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419099</xdr:colOff>
      <xdr:row>4</xdr:row>
      <xdr:rowOff>142874</xdr:rowOff>
    </xdr:from>
    <xdr:to>
      <xdr:col>8</xdr:col>
      <xdr:colOff>180974</xdr:colOff>
      <xdr:row>9</xdr:row>
      <xdr:rowOff>85724</xdr:rowOff>
    </xdr:to>
    <xdr:sp macro="" textlink="">
      <xdr:nvSpPr>
        <xdr:cNvPr id="2" name="Round Diagonal Corner Rectangle 1"/>
        <xdr:cNvSpPr/>
      </xdr:nvSpPr>
      <xdr:spPr>
        <a:xfrm>
          <a:off x="2886074" y="1200149"/>
          <a:ext cx="2828925" cy="942975"/>
        </a:xfrm>
        <a:prstGeom prst="round2Diag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800" b="0" i="0" u="none" strike="noStrike">
              <a:solidFill>
                <a:schemeClr val="lt1"/>
              </a:solidFill>
              <a:effectLst/>
              <a:latin typeface="+mn-lt"/>
              <a:ea typeface="+mn-ea"/>
              <a:cs typeface="+mn-cs"/>
            </a:rPr>
            <a:t>  </a:t>
          </a:r>
          <a:endParaRPr lang="en-PH" sz="2800"/>
        </a:p>
      </xdr:txBody>
    </xdr:sp>
    <xdr:clientData/>
  </xdr:twoCellAnchor>
  <xdr:twoCellAnchor>
    <xdr:from>
      <xdr:col>8</xdr:col>
      <xdr:colOff>590550</xdr:colOff>
      <xdr:row>4</xdr:row>
      <xdr:rowOff>114299</xdr:rowOff>
    </xdr:from>
    <xdr:to>
      <xdr:col>12</xdr:col>
      <xdr:colOff>333375</xdr:colOff>
      <xdr:row>9</xdr:row>
      <xdr:rowOff>66675</xdr:rowOff>
    </xdr:to>
    <xdr:sp macro="" textlink="">
      <xdr:nvSpPr>
        <xdr:cNvPr id="3" name="Round Diagonal Corner Rectangle 2"/>
        <xdr:cNvSpPr/>
      </xdr:nvSpPr>
      <xdr:spPr>
        <a:xfrm>
          <a:off x="6029325" y="1171574"/>
          <a:ext cx="2657475" cy="952501"/>
        </a:xfrm>
        <a:prstGeom prst="round2Diag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800" b="0" i="0" u="none" strike="noStrike">
              <a:solidFill>
                <a:schemeClr val="lt1"/>
              </a:solidFill>
              <a:effectLst/>
              <a:latin typeface="+mn-lt"/>
              <a:ea typeface="+mn-ea"/>
              <a:cs typeface="+mn-cs"/>
            </a:rPr>
            <a:t> </a:t>
          </a:r>
          <a:endParaRPr lang="en-PH" sz="2800"/>
        </a:p>
      </xdr:txBody>
    </xdr:sp>
    <xdr:clientData/>
  </xdr:twoCellAnchor>
  <xdr:twoCellAnchor>
    <xdr:from>
      <xdr:col>13</xdr:col>
      <xdr:colOff>28575</xdr:colOff>
      <xdr:row>4</xdr:row>
      <xdr:rowOff>114299</xdr:rowOff>
    </xdr:from>
    <xdr:to>
      <xdr:col>16</xdr:col>
      <xdr:colOff>428625</xdr:colOff>
      <xdr:row>9</xdr:row>
      <xdr:rowOff>38099</xdr:rowOff>
    </xdr:to>
    <xdr:sp macro="" textlink="">
      <xdr:nvSpPr>
        <xdr:cNvPr id="4" name="Round Diagonal Corner Rectangle 3"/>
        <xdr:cNvSpPr/>
      </xdr:nvSpPr>
      <xdr:spPr>
        <a:xfrm>
          <a:off x="9067800" y="1171574"/>
          <a:ext cx="2533650" cy="923925"/>
        </a:xfrm>
        <a:prstGeom prst="round2Diag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800" b="0" i="0" u="none" strike="noStrike">
              <a:solidFill>
                <a:schemeClr val="lt1"/>
              </a:solidFill>
              <a:effectLst/>
              <a:latin typeface="+mn-lt"/>
              <a:ea typeface="+mn-ea"/>
              <a:cs typeface="+mn-cs"/>
            </a:rPr>
            <a:t> </a:t>
          </a:r>
          <a:endParaRPr lang="en-PH" sz="2800"/>
        </a:p>
      </xdr:txBody>
    </xdr:sp>
    <xdr:clientData/>
  </xdr:twoCellAnchor>
  <xdr:twoCellAnchor>
    <xdr:from>
      <xdr:col>17</xdr:col>
      <xdr:colOff>95250</xdr:colOff>
      <xdr:row>4</xdr:row>
      <xdr:rowOff>95249</xdr:rowOff>
    </xdr:from>
    <xdr:to>
      <xdr:col>20</xdr:col>
      <xdr:colOff>581025</xdr:colOff>
      <xdr:row>9</xdr:row>
      <xdr:rowOff>38099</xdr:rowOff>
    </xdr:to>
    <xdr:sp macro="" textlink="">
      <xdr:nvSpPr>
        <xdr:cNvPr id="5" name="Round Diagonal Corner Rectangle 4"/>
        <xdr:cNvSpPr/>
      </xdr:nvSpPr>
      <xdr:spPr>
        <a:xfrm>
          <a:off x="11953875" y="1152524"/>
          <a:ext cx="2543175" cy="942975"/>
        </a:xfrm>
        <a:prstGeom prst="round2Diag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800"/>
            <a:t> </a:t>
          </a:r>
        </a:p>
      </xdr:txBody>
    </xdr:sp>
    <xdr:clientData/>
  </xdr:twoCellAnchor>
  <xdr:oneCellAnchor>
    <xdr:from>
      <xdr:col>5</xdr:col>
      <xdr:colOff>523875</xdr:colOff>
      <xdr:row>7</xdr:row>
      <xdr:rowOff>114300</xdr:rowOff>
    </xdr:from>
    <xdr:ext cx="1150956" cy="264560"/>
    <xdr:sp macro="" textlink="">
      <xdr:nvSpPr>
        <xdr:cNvPr id="6" name="TextBox 5"/>
        <xdr:cNvSpPr txBox="1"/>
      </xdr:nvSpPr>
      <xdr:spPr>
        <a:xfrm>
          <a:off x="3676650" y="1771650"/>
          <a:ext cx="1150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chemeClr val="bg1"/>
              </a:solidFill>
            </a:rPr>
            <a:t>TOTAL REVENUE</a:t>
          </a:r>
        </a:p>
      </xdr:txBody>
    </xdr:sp>
    <xdr:clientData/>
  </xdr:oneCellAnchor>
  <xdr:oneCellAnchor>
    <xdr:from>
      <xdr:col>7</xdr:col>
      <xdr:colOff>9525</xdr:colOff>
      <xdr:row>7</xdr:row>
      <xdr:rowOff>47625</xdr:rowOff>
    </xdr:from>
    <xdr:ext cx="184731" cy="264560"/>
    <xdr:sp macro="" textlink="">
      <xdr:nvSpPr>
        <xdr:cNvPr id="7" name="TextBox 6"/>
        <xdr:cNvSpPr txBox="1"/>
      </xdr:nvSpPr>
      <xdr:spPr>
        <a:xfrm>
          <a:off x="4810125" y="1704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10</xdr:col>
      <xdr:colOff>76200</xdr:colOff>
      <xdr:row>7</xdr:row>
      <xdr:rowOff>95250</xdr:rowOff>
    </xdr:from>
    <xdr:ext cx="1018869" cy="264560"/>
    <xdr:sp macro="" textlink="">
      <xdr:nvSpPr>
        <xdr:cNvPr id="8" name="TextBox 7"/>
        <xdr:cNvSpPr txBox="1"/>
      </xdr:nvSpPr>
      <xdr:spPr>
        <a:xfrm>
          <a:off x="6886575" y="1752600"/>
          <a:ext cx="1018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chemeClr val="bg1"/>
              </a:solidFill>
            </a:rPr>
            <a:t>TOTAL PROFIT</a:t>
          </a:r>
        </a:p>
      </xdr:txBody>
    </xdr:sp>
    <xdr:clientData/>
  </xdr:oneCellAnchor>
  <xdr:oneCellAnchor>
    <xdr:from>
      <xdr:col>11</xdr:col>
      <xdr:colOff>247650</xdr:colOff>
      <xdr:row>6</xdr:row>
      <xdr:rowOff>180975</xdr:rowOff>
    </xdr:from>
    <xdr:ext cx="184731" cy="264560"/>
    <xdr:sp macro="" textlink="">
      <xdr:nvSpPr>
        <xdr:cNvPr id="9" name="TextBox 8"/>
        <xdr:cNvSpPr txBox="1"/>
      </xdr:nvSpPr>
      <xdr:spPr>
        <a:xfrm>
          <a:off x="7791450" y="163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14</xdr:col>
      <xdr:colOff>47625</xdr:colOff>
      <xdr:row>7</xdr:row>
      <xdr:rowOff>66675</xdr:rowOff>
    </xdr:from>
    <xdr:ext cx="1200008" cy="264560"/>
    <xdr:sp macro="" textlink="">
      <xdr:nvSpPr>
        <xdr:cNvPr id="11" name="TextBox 10"/>
        <xdr:cNvSpPr txBox="1"/>
      </xdr:nvSpPr>
      <xdr:spPr>
        <a:xfrm>
          <a:off x="9772650" y="1724025"/>
          <a:ext cx="12000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chemeClr val="bg1"/>
              </a:solidFill>
            </a:rPr>
            <a:t>AVERAGE PROFIT</a:t>
          </a:r>
        </a:p>
      </xdr:txBody>
    </xdr:sp>
    <xdr:clientData/>
  </xdr:oneCellAnchor>
  <xdr:oneCellAnchor>
    <xdr:from>
      <xdr:col>17</xdr:col>
      <xdr:colOff>590550</xdr:colOff>
      <xdr:row>7</xdr:row>
      <xdr:rowOff>47625</xdr:rowOff>
    </xdr:from>
    <xdr:ext cx="1737527" cy="264560"/>
    <xdr:sp macro="" textlink="">
      <xdr:nvSpPr>
        <xdr:cNvPr id="12" name="TextBox 11"/>
        <xdr:cNvSpPr txBox="1"/>
      </xdr:nvSpPr>
      <xdr:spPr>
        <a:xfrm>
          <a:off x="12449175" y="1704975"/>
          <a:ext cx="17375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chemeClr val="bg1"/>
              </a:solidFill>
            </a:rPr>
            <a:t>AVERAGE</a:t>
          </a:r>
          <a:r>
            <a:rPr lang="en-PH" sz="1100" b="1" baseline="0">
              <a:solidFill>
                <a:schemeClr val="bg1"/>
              </a:solidFill>
            </a:rPr>
            <a:t> PROFIT MARGIN</a:t>
          </a:r>
          <a:endParaRPr lang="en-PH" sz="1100" b="1">
            <a:solidFill>
              <a:schemeClr val="bg1"/>
            </a:solidFill>
          </a:endParaRPr>
        </a:p>
      </xdr:txBody>
    </xdr:sp>
    <xdr:clientData/>
  </xdr:oneCellAnchor>
  <xdr:twoCellAnchor>
    <xdr:from>
      <xdr:col>4</xdr:col>
      <xdr:colOff>466724</xdr:colOff>
      <xdr:row>10</xdr:row>
      <xdr:rowOff>190500</xdr:rowOff>
    </xdr:from>
    <xdr:to>
      <xdr:col>12</xdr:col>
      <xdr:colOff>361949</xdr:colOff>
      <xdr:row>24</xdr:row>
      <xdr:rowOff>38100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xdr:colOff>
      <xdr:row>3</xdr:row>
      <xdr:rowOff>19050</xdr:rowOff>
    </xdr:from>
    <xdr:to>
      <xdr:col>2</xdr:col>
      <xdr:colOff>333375</xdr:colOff>
      <xdr:row>11</xdr:row>
      <xdr:rowOff>133350</xdr:rowOff>
    </xdr:to>
    <mc:AlternateContent xmlns:mc="http://schemas.openxmlformats.org/markup-compatibility/2006">
      <mc:Choice xmlns:a14="http://schemas.microsoft.com/office/drawing/2010/main" Requires="a14">
        <xdr:graphicFrame macro="">
          <xdr:nvGraphicFramePr>
            <xdr:cNvPr id="10"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7150" y="876300"/>
              <a:ext cx="1647825" cy="1714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38099</xdr:colOff>
      <xdr:row>11</xdr:row>
      <xdr:rowOff>9524</xdr:rowOff>
    </xdr:from>
    <xdr:to>
      <xdr:col>20</xdr:col>
      <xdr:colOff>657224</xdr:colOff>
      <xdr:row>24</xdr:row>
      <xdr:rowOff>28574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47625</xdr:colOff>
      <xdr:row>12</xdr:row>
      <xdr:rowOff>57150</xdr:rowOff>
    </xdr:from>
    <xdr:to>
      <xdr:col>2</xdr:col>
      <xdr:colOff>333375</xdr:colOff>
      <xdr:row>22</xdr:row>
      <xdr:rowOff>142875</xdr:rowOff>
    </xdr:to>
    <mc:AlternateContent xmlns:mc="http://schemas.openxmlformats.org/markup-compatibility/2006">
      <mc:Choice xmlns:a14="http://schemas.microsoft.com/office/drawing/2010/main" Requires="a14">
        <xdr:graphicFrame macro="">
          <xdr:nvGraphicFramePr>
            <xdr:cNvPr id="22"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47625" y="2714625"/>
              <a:ext cx="1657350" cy="2085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790575</xdr:colOff>
      <xdr:row>6</xdr:row>
      <xdr:rowOff>85725</xdr:rowOff>
    </xdr:from>
    <xdr:ext cx="184731" cy="264560"/>
    <xdr:sp macro="" textlink="">
      <xdr:nvSpPr>
        <xdr:cNvPr id="26" name="TextBox 25"/>
        <xdr:cNvSpPr txBox="1"/>
      </xdr:nvSpPr>
      <xdr:spPr>
        <a:xfrm>
          <a:off x="3943350" y="154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9</xdr:col>
      <xdr:colOff>323850</xdr:colOff>
      <xdr:row>5</xdr:row>
      <xdr:rowOff>85725</xdr:rowOff>
    </xdr:from>
    <xdr:to>
      <xdr:col>11</xdr:col>
      <xdr:colOff>657225</xdr:colOff>
      <xdr:row>7</xdr:row>
      <xdr:rowOff>47625</xdr:rowOff>
    </xdr:to>
    <xdr:sp macro="" textlink="K6">
      <xdr:nvSpPr>
        <xdr:cNvPr id="28" name="TextBox 27"/>
        <xdr:cNvSpPr txBox="1"/>
      </xdr:nvSpPr>
      <xdr:spPr>
        <a:xfrm>
          <a:off x="6448425" y="1343025"/>
          <a:ext cx="187642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6C606E-F9B4-4D50-9F92-F82D7CD9B690}" type="TxLink">
            <a:rPr lang="en-US" sz="2000" b="0" i="0" u="none" strike="noStrike">
              <a:solidFill>
                <a:srgbClr val="000000"/>
              </a:solidFill>
              <a:latin typeface="Calibri"/>
              <a:cs typeface="Calibri"/>
            </a:rPr>
            <a:pPr algn="ctr"/>
            <a:t> $1,349.00 </a:t>
          </a:fld>
          <a:endParaRPr lang="en-PH" sz="2000"/>
        </a:p>
      </xdr:txBody>
    </xdr:sp>
    <xdr:clientData/>
  </xdr:twoCellAnchor>
  <xdr:twoCellAnchor>
    <xdr:from>
      <xdr:col>13</xdr:col>
      <xdr:colOff>390525</xdr:colOff>
      <xdr:row>5</xdr:row>
      <xdr:rowOff>76201</xdr:rowOff>
    </xdr:from>
    <xdr:to>
      <xdr:col>16</xdr:col>
      <xdr:colOff>161925</xdr:colOff>
      <xdr:row>7</xdr:row>
      <xdr:rowOff>57151</xdr:rowOff>
    </xdr:to>
    <xdr:sp macro="" textlink="O7">
      <xdr:nvSpPr>
        <xdr:cNvPr id="29" name="TextBox 28"/>
        <xdr:cNvSpPr txBox="1"/>
      </xdr:nvSpPr>
      <xdr:spPr>
        <a:xfrm>
          <a:off x="9429750" y="1333501"/>
          <a:ext cx="19050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47C9EA-722D-4957-866F-4911C9EE4C0B}" type="TxLink">
            <a:rPr lang="en-US" sz="2000" b="0" i="0" u="none" strike="noStrike">
              <a:solidFill>
                <a:srgbClr val="000000"/>
              </a:solidFill>
              <a:latin typeface="Calibri"/>
              <a:cs typeface="Calibri"/>
            </a:rPr>
            <a:pPr algn="ctr"/>
            <a:t> $1,349.00 </a:t>
          </a:fld>
          <a:endParaRPr lang="en-PH" sz="2000"/>
        </a:p>
      </xdr:txBody>
    </xdr:sp>
    <xdr:clientData/>
  </xdr:twoCellAnchor>
  <xdr:twoCellAnchor>
    <xdr:from>
      <xdr:col>18</xdr:col>
      <xdr:colOff>0</xdr:colOff>
      <xdr:row>5</xdr:row>
      <xdr:rowOff>66675</xdr:rowOff>
    </xdr:from>
    <xdr:to>
      <xdr:col>20</xdr:col>
      <xdr:colOff>228600</xdr:colOff>
      <xdr:row>7</xdr:row>
      <xdr:rowOff>66675</xdr:rowOff>
    </xdr:to>
    <xdr:sp macro="" textlink="">
      <xdr:nvSpPr>
        <xdr:cNvPr id="30" name="TextBox 29"/>
        <xdr:cNvSpPr txBox="1"/>
      </xdr:nvSpPr>
      <xdr:spPr>
        <a:xfrm>
          <a:off x="12544425" y="1323975"/>
          <a:ext cx="1600200"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33%</a:t>
          </a:r>
          <a:endParaRPr lang="en-US" sz="2000">
            <a:solidFill>
              <a:srgbClr val="FF0000"/>
            </a:solidFill>
          </a:endParaRPr>
        </a:p>
      </xdr:txBody>
    </xdr:sp>
    <xdr:clientData/>
  </xdr:twoCellAnchor>
  <xdr:twoCellAnchor>
    <xdr:from>
      <xdr:col>5</xdr:col>
      <xdr:colOff>361950</xdr:colOff>
      <xdr:row>5</xdr:row>
      <xdr:rowOff>85725</xdr:rowOff>
    </xdr:from>
    <xdr:to>
      <xdr:col>7</xdr:col>
      <xdr:colOff>304800</xdr:colOff>
      <xdr:row>7</xdr:row>
      <xdr:rowOff>133350</xdr:rowOff>
    </xdr:to>
    <xdr:sp macro="" textlink="$G$7">
      <xdr:nvSpPr>
        <xdr:cNvPr id="31" name="TextBox 30"/>
        <xdr:cNvSpPr txBox="1"/>
      </xdr:nvSpPr>
      <xdr:spPr>
        <a:xfrm>
          <a:off x="3514725" y="1343025"/>
          <a:ext cx="1638300"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58A49C-A95A-4080-B5AA-BC6977A40374}" type="TxLink">
            <a:rPr lang="en-US" sz="2000" b="0" i="0" u="none" strike="noStrike">
              <a:solidFill>
                <a:srgbClr val="000000"/>
              </a:solidFill>
              <a:latin typeface="Calibri"/>
              <a:cs typeface="Calibri"/>
            </a:rPr>
            <a:pPr algn="ctr"/>
            <a:t> $5,250.00 </a:t>
          </a:fld>
          <a:endParaRPr lang="en-PH" sz="200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COMLAB" refreshedDate="46073.766435995371" backgroundQuery="1" createdVersion="6" refreshedVersion="6" minRefreshableVersion="3" recordCount="0" supportSubquery="1" supportAdvancedDrill="1">
  <cacheSource type="external" connectionId="4"/>
  <cacheFields count="3">
    <cacheField name="[Measures].[Sum of Revenue]" caption="Sum of Revenue" numFmtId="0" hierarchy="37" level="32767"/>
    <cacheField name="[Revenue_Fact].[Date].[Date]" caption="Date" numFmtId="0" hierarchy="9" level="1">
      <sharedItems containsSemiMixedTypes="0" containsNonDate="0" containsString="0"/>
    </cacheField>
    <cacheField name="[State_Dim].[State].[State]" caption="State" numFmtId="0" hierarchy="17" level="1">
      <sharedItems containsSemiMixedTypes="0" containsNonDate="0" containsString="0"/>
    </cacheField>
  </cacheFields>
  <cacheHierarchies count="48">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1"/>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State_Dim].[State]" caption="State" attribute="1" defaultMemberUniqueName="[State_Dim].[State].[All]" allUniqueName="[State_Dim].[State].[All]" dimensionUniqueName="[State_Dim]" displayFolder="" count="2" memberValueDatatype="130" unbalanced="0">
      <fieldsUsage count="2">
        <fieldUsage x="-1"/>
        <fieldUsage x="2"/>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Table_ExternalData_1].[Revenue_Fact[Trans_id]]]" caption="Revenue_Fact[Trans_id]" attribute="1" defaultMemberUniqueName="[Table_ExternalData_1].[Revenue_Fact[Trans_id]]].[All]" allUniqueName="[Table_ExternalData_1].[Revenue_Fact[Trans_id]]].[All]" dimensionUniqueName="[Table_ExternalData_1]" displayFolder="" count="0" memberValueDatatype="130" unbalanced="0"/>
    <cacheHierarchy uniqueName="[Table_ExternalData_1].[Revenue_Fact[Date]]]" caption="Revenue_Fact[Date]" attribute="1" time="1" defaultMemberUniqueName="[Table_ExternalData_1].[Revenue_Fact[Date]]].[All]" allUniqueName="[Table_ExternalData_1].[Revenue_Fact[Date]]].[All]" dimensionUniqueName="[Table_ExternalData_1]" displayFolder="" count="0" memberValueDatatype="7" unbalanced="0"/>
    <cacheHierarchy uniqueName="[Table_ExternalData_1].[Revenue_Fact[Client_id]]]" caption="Revenue_Fact[Client_id]" attribute="1" defaultMemberUniqueName="[Table_ExternalData_1].[Revenue_Fact[Client_id]]].[All]" allUniqueName="[Table_ExternalData_1].[Revenue_Fact[Client_id]]].[All]" dimensionUniqueName="[Table_ExternalData_1]" displayFolder="" count="0" memberValueDatatype="130" unbalanced="0"/>
    <cacheHierarchy uniqueName="[Table_ExternalData_1].[Revenue_Fact[Department_id]]]" caption="Revenue_Fact[Department_id]" attribute="1" defaultMemberUniqueName="[Table_ExternalData_1].[Revenue_Fact[Department_id]]].[All]" allUniqueName="[Table_ExternalData_1].[Revenue_Fact[Department_id]]].[All]" dimensionUniqueName="[Table_ExternalData_1]" displayFolder="" count="0" memberValueDatatype="20" unbalanced="0"/>
    <cacheHierarchy uniqueName="[Table_ExternalData_1].[Revenue_Fact[State_id]]]" caption="Revenue_Fact[State_id]" attribute="1" defaultMemberUniqueName="[Table_ExternalData_1].[Revenue_Fact[State_id]]].[All]" allUniqueName="[Table_ExternalData_1].[Revenue_Fact[State_id]]].[All]" dimensionUniqueName="[Table_ExternalData_1]" displayFolder="" count="0" memberValueDatatype="20" unbalanced="0"/>
    <cacheHierarchy uniqueName="[Table_ExternalData_1].[Revenue_Fact[Payment_id]]]" caption="Revenue_Fact[Payment_id]" attribute="1" defaultMemberUniqueName="[Table_ExternalData_1].[Revenue_Fact[Payment_id]]].[All]" allUniqueName="[Table_ExternalData_1].[Revenue_Fact[Payment_id]]].[All]" dimensionUniqueName="[Table_ExternalData_1]" displayFolder="" count="0" memberValueDatatype="20" unbalanced="0"/>
    <cacheHierarchy uniqueName="[Table_ExternalData_1].[Revenue_Fact[Revenue]]]" caption="Revenue_Fact[Revenue]" attribute="1" defaultMemberUniqueName="[Table_ExternalData_1].[Revenue_Fact[Revenue]]].[All]" allUniqueName="[Table_ExternalData_1].[Revenue_Fact[Revenue]]].[All]" dimensionUniqueName="[Table_ExternalData_1]" displayFolder="" count="0" memberValueDatatype="5" unbalanced="0"/>
    <cacheHierarchy uniqueName="[Table_ExternalData_1].[Revenue_Fact[Profit]]]" caption="Revenue_Fact[Profit]" attribute="1" defaultMemberUniqueName="[Table_ExternalData_1].[Revenue_Fact[Profit]]].[All]" allUniqueName="[Table_ExternalData_1].[Revenue_Fact[Profit]]].[All]" dimensionUniqueName="[Table_ExternalData_1]" displayFolder="" count="0" memberValueDatatype="20" unbalanced="0"/>
    <cacheHierarchy uniqueName="[Table_ExternalData_1].[Revenue_Fact[Profit Margin]]]" caption="Revenue_Fact[Profit Margin]" attribute="1" defaultMemberUniqueName="[Table_ExternalData_1].[Revenue_Fact[Profit Margin]]].[All]" allUniqueName="[Table_ExternalData_1].[Revenue_Fact[Profit Margin]]].[All]" dimensionUniqueName="[Table_ExternalData_1]" displayFolder="" count="0" memberValueDatatype="5" unbalanced="0"/>
    <cacheHierarchy uniqueName="[Table_ExternalData_1].[Revenue_Fact[Date]] (Month)]" caption="Revenue_Fact[Date] (Month)" attribute="1" defaultMemberUniqueName="[Table_ExternalData_1].[Revenue_Fact[Date]] (Month)].[All]" allUniqueName="[Table_ExternalData_1].[Revenue_Fact[Date]] (Month)].[All]" dimensionUniqueName="[Table_ExternalData_1]" displayFolder="" count="0" memberValueDatatype="130" unbalanced="0"/>
    <cacheHierarchy uniqueName="[Table_ExternalData_1].[Revenue_Fact[Date]] (Month Index)]" caption="Revenue_Fact[Date] (Month Index)" attribute="1" defaultMemberUniqueName="[Table_ExternalData_1].[Revenue_Fact[Date]] (Month Index)].[All]" allUniqueName="[Table_ExternalData_1].[Revenue_Fact[Date]] (Month Index)].[All]" dimensionUniqueName="[Table_ExternalData_1]"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y uniqueName="[Measures].[Sum of Revenue_Fact[Department_id]]]" caption="Sum of Revenue_Fact[Department_id]"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Client]" caption="Count of Client" measure="1" displayFolder="" measureGroup="Client_Dim" count="0" hidden="1">
      <extLst>
        <ext xmlns:x15="http://schemas.microsoft.com/office/spreadsheetml/2010/11/main" uri="{B97F6D7D-B522-45F9-BDA1-12C45D357490}">
          <x15:cacheHierarchy aggregatedColumn="0"/>
        </ext>
      </extLst>
    </cacheHierarchy>
    <cacheHierarchy uniqueName="[Measures].[Sum of Revenue_Fact[Revenue]]]" caption="Sum of Revenue_Fact[Revenue]" measure="1" displayFolder="" measureGroup="Table_ExternalData_1" count="0" hidden="1">
      <extLst>
        <ext xmlns:x15="http://schemas.microsoft.com/office/spreadsheetml/2010/11/main" uri="{B97F6D7D-B522-45F9-BDA1-12C45D357490}">
          <x15:cacheHierarchy aggregatedColumn="25"/>
        </ext>
      </extLst>
    </cacheHierarchy>
  </cacheHierarchies>
  <kpis count="0"/>
  <dimensions count="7">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 name="Table_ExternalData_1" uniqueName="[Table_ExternalData_1]" caption="Table_ExternalData_1"/>
  </dimensions>
  <measureGroups count="6">
    <measureGroup name="Client_Dim" caption="Client_Dim"/>
    <measureGroup name="Department_Dim" caption="Department_Dim"/>
    <measureGroup name="Payment_Dim" caption="Payment_Dim"/>
    <measureGroup name="Revenue_Fact" caption="Revenue_Fact"/>
    <measureGroup name="State_Dim" caption="State_Dim"/>
    <measureGroup name="Table_ExternalData_1" caption="Table_ExternalData_1"/>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OMLAB" refreshedDate="46073.766436342594" backgroundQuery="1" createdVersion="6" refreshedVersion="6" minRefreshableVersion="3" recordCount="0" supportSubquery="1" supportAdvancedDrill="1">
  <cacheSource type="external" connectionId="4"/>
  <cacheFields count="3">
    <cacheField name="[Measures].[Average of Profit]" caption="Average of Profit" numFmtId="0" hierarchy="40" level="32767"/>
    <cacheField name="[Revenue_Fact].[Date].[Date]" caption="Date" numFmtId="0" hierarchy="9" level="1">
      <sharedItems containsSemiMixedTypes="0" containsNonDate="0" containsString="0"/>
    </cacheField>
    <cacheField name="[State_Dim].[State].[State]" caption="State" numFmtId="0" hierarchy="17" level="1">
      <sharedItems containsSemiMixedTypes="0" containsNonDate="0" containsString="0"/>
    </cacheField>
  </cacheFields>
  <cacheHierarchies count="48">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1"/>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State_Dim].[State]" caption="State" attribute="1" defaultMemberUniqueName="[State_Dim].[State].[All]" allUniqueName="[State_Dim].[State].[All]" dimensionUniqueName="[State_Dim]" displayFolder="" count="2" memberValueDatatype="130" unbalanced="0">
      <fieldsUsage count="2">
        <fieldUsage x="-1"/>
        <fieldUsage x="2"/>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Table_ExternalData_1].[Revenue_Fact[Trans_id]]]" caption="Revenue_Fact[Trans_id]" attribute="1" defaultMemberUniqueName="[Table_ExternalData_1].[Revenue_Fact[Trans_id]]].[All]" allUniqueName="[Table_ExternalData_1].[Revenue_Fact[Trans_id]]].[All]" dimensionUniqueName="[Table_ExternalData_1]" displayFolder="" count="0" memberValueDatatype="130" unbalanced="0"/>
    <cacheHierarchy uniqueName="[Table_ExternalData_1].[Revenue_Fact[Date]]]" caption="Revenue_Fact[Date]" attribute="1" time="1" defaultMemberUniqueName="[Table_ExternalData_1].[Revenue_Fact[Date]]].[All]" allUniqueName="[Table_ExternalData_1].[Revenue_Fact[Date]]].[All]" dimensionUniqueName="[Table_ExternalData_1]" displayFolder="" count="0" memberValueDatatype="7" unbalanced="0"/>
    <cacheHierarchy uniqueName="[Table_ExternalData_1].[Revenue_Fact[Client_id]]]" caption="Revenue_Fact[Client_id]" attribute="1" defaultMemberUniqueName="[Table_ExternalData_1].[Revenue_Fact[Client_id]]].[All]" allUniqueName="[Table_ExternalData_1].[Revenue_Fact[Client_id]]].[All]" dimensionUniqueName="[Table_ExternalData_1]" displayFolder="" count="0" memberValueDatatype="130" unbalanced="0"/>
    <cacheHierarchy uniqueName="[Table_ExternalData_1].[Revenue_Fact[Department_id]]]" caption="Revenue_Fact[Department_id]" attribute="1" defaultMemberUniqueName="[Table_ExternalData_1].[Revenue_Fact[Department_id]]].[All]" allUniqueName="[Table_ExternalData_1].[Revenue_Fact[Department_id]]].[All]" dimensionUniqueName="[Table_ExternalData_1]" displayFolder="" count="0" memberValueDatatype="20" unbalanced="0"/>
    <cacheHierarchy uniqueName="[Table_ExternalData_1].[Revenue_Fact[State_id]]]" caption="Revenue_Fact[State_id]" attribute="1" defaultMemberUniqueName="[Table_ExternalData_1].[Revenue_Fact[State_id]]].[All]" allUniqueName="[Table_ExternalData_1].[Revenue_Fact[State_id]]].[All]" dimensionUniqueName="[Table_ExternalData_1]" displayFolder="" count="0" memberValueDatatype="20" unbalanced="0"/>
    <cacheHierarchy uniqueName="[Table_ExternalData_1].[Revenue_Fact[Payment_id]]]" caption="Revenue_Fact[Payment_id]" attribute="1" defaultMemberUniqueName="[Table_ExternalData_1].[Revenue_Fact[Payment_id]]].[All]" allUniqueName="[Table_ExternalData_1].[Revenue_Fact[Payment_id]]].[All]" dimensionUniqueName="[Table_ExternalData_1]" displayFolder="" count="0" memberValueDatatype="20" unbalanced="0"/>
    <cacheHierarchy uniqueName="[Table_ExternalData_1].[Revenue_Fact[Revenue]]]" caption="Revenue_Fact[Revenue]" attribute="1" defaultMemberUniqueName="[Table_ExternalData_1].[Revenue_Fact[Revenue]]].[All]" allUniqueName="[Table_ExternalData_1].[Revenue_Fact[Revenue]]].[All]" dimensionUniqueName="[Table_ExternalData_1]" displayFolder="" count="0" memberValueDatatype="5" unbalanced="0"/>
    <cacheHierarchy uniqueName="[Table_ExternalData_1].[Revenue_Fact[Profit]]]" caption="Revenue_Fact[Profit]" attribute="1" defaultMemberUniqueName="[Table_ExternalData_1].[Revenue_Fact[Profit]]].[All]" allUniqueName="[Table_ExternalData_1].[Revenue_Fact[Profit]]].[All]" dimensionUniqueName="[Table_ExternalData_1]" displayFolder="" count="0" memberValueDatatype="20" unbalanced="0"/>
    <cacheHierarchy uniqueName="[Table_ExternalData_1].[Revenue_Fact[Profit Margin]]]" caption="Revenue_Fact[Profit Margin]" attribute="1" defaultMemberUniqueName="[Table_ExternalData_1].[Revenue_Fact[Profit Margin]]].[All]" allUniqueName="[Table_ExternalData_1].[Revenue_Fact[Profit Margin]]].[All]" dimensionUniqueName="[Table_ExternalData_1]" displayFolder="" count="0" memberValueDatatype="5" unbalanced="0"/>
    <cacheHierarchy uniqueName="[Table_ExternalData_1].[Revenue_Fact[Date]] (Month)]" caption="Revenue_Fact[Date] (Month)" attribute="1" defaultMemberUniqueName="[Table_ExternalData_1].[Revenue_Fact[Date]] (Month)].[All]" allUniqueName="[Table_ExternalData_1].[Revenue_Fact[Date]] (Month)].[All]" dimensionUniqueName="[Table_ExternalData_1]" displayFolder="" count="0" memberValueDatatype="130" unbalanced="0"/>
    <cacheHierarchy uniqueName="[Table_ExternalData_1].[Revenue_Fact[Date]] (Month Index)]" caption="Revenue_Fact[Date] (Month Index)" attribute="1" defaultMemberUniqueName="[Table_ExternalData_1].[Revenue_Fact[Date]] (Month Index)].[All]" allUniqueName="[Table_ExternalData_1].[Revenue_Fact[Date]] (Month Index)].[All]" dimensionUniqueName="[Table_ExternalData_1]"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y uniqueName="[Measures].[Sum of Revenue_Fact[Department_id]]]" caption="Sum of Revenue_Fact[Department_id]"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Client]" caption="Count of Client" measure="1" displayFolder="" measureGroup="Client_Dim" count="0" hidden="1">
      <extLst>
        <ext xmlns:x15="http://schemas.microsoft.com/office/spreadsheetml/2010/11/main" uri="{B97F6D7D-B522-45F9-BDA1-12C45D357490}">
          <x15:cacheHierarchy aggregatedColumn="0"/>
        </ext>
      </extLst>
    </cacheHierarchy>
    <cacheHierarchy uniqueName="[Measures].[Sum of Revenue_Fact[Revenue]]]" caption="Sum of Revenue_Fact[Revenue]" measure="1" displayFolder="" measureGroup="Table_ExternalData_1" count="0" hidden="1">
      <extLst>
        <ext xmlns:x15="http://schemas.microsoft.com/office/spreadsheetml/2010/11/main" uri="{B97F6D7D-B522-45F9-BDA1-12C45D357490}">
          <x15:cacheHierarchy aggregatedColumn="25"/>
        </ext>
      </extLst>
    </cacheHierarchy>
  </cacheHierarchies>
  <kpis count="0"/>
  <dimensions count="7">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 name="Table_ExternalData_1" uniqueName="[Table_ExternalData_1]" caption="Table_ExternalData_1"/>
  </dimensions>
  <measureGroups count="6">
    <measureGroup name="Client_Dim" caption="Client_Dim"/>
    <measureGroup name="Department_Dim" caption="Department_Dim"/>
    <measureGroup name="Payment_Dim" caption="Payment_Dim"/>
    <measureGroup name="Revenue_Fact" caption="Revenue_Fact"/>
    <measureGroup name="State_Dim" caption="State_Dim"/>
    <measureGroup name="Table_ExternalData_1" caption="Table_ExternalData_1"/>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OMLAB" refreshedDate="46073.766436805556" backgroundQuery="1" createdVersion="6" refreshedVersion="6" minRefreshableVersion="3" recordCount="0" supportSubquery="1" supportAdvancedDrill="1">
  <cacheSource type="external" connectionId="4"/>
  <cacheFields count="3">
    <cacheField name="[Measures].[Average of Profit Margin]" caption="Average of Profit Margin" numFmtId="0" hierarchy="43" level="32767"/>
    <cacheField name="[Revenue_Fact].[Date].[Date]" caption="Date" numFmtId="0" hierarchy="9" level="1">
      <sharedItems containsSemiMixedTypes="0" containsNonDate="0" containsString="0"/>
    </cacheField>
    <cacheField name="[State_Dim].[State].[State]" caption="State" numFmtId="0" hierarchy="17" level="1">
      <sharedItems containsSemiMixedTypes="0" containsNonDate="0" containsString="0"/>
    </cacheField>
  </cacheFields>
  <cacheHierarchies count="48">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1"/>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State_Dim].[State]" caption="State" attribute="1" defaultMemberUniqueName="[State_Dim].[State].[All]" allUniqueName="[State_Dim].[State].[All]" dimensionUniqueName="[State_Dim]" displayFolder="" count="2" memberValueDatatype="130" unbalanced="0">
      <fieldsUsage count="2">
        <fieldUsage x="-1"/>
        <fieldUsage x="2"/>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Table_ExternalData_1].[Revenue_Fact[Trans_id]]]" caption="Revenue_Fact[Trans_id]" attribute="1" defaultMemberUniqueName="[Table_ExternalData_1].[Revenue_Fact[Trans_id]]].[All]" allUniqueName="[Table_ExternalData_1].[Revenue_Fact[Trans_id]]].[All]" dimensionUniqueName="[Table_ExternalData_1]" displayFolder="" count="0" memberValueDatatype="130" unbalanced="0"/>
    <cacheHierarchy uniqueName="[Table_ExternalData_1].[Revenue_Fact[Date]]]" caption="Revenue_Fact[Date]" attribute="1" time="1" defaultMemberUniqueName="[Table_ExternalData_1].[Revenue_Fact[Date]]].[All]" allUniqueName="[Table_ExternalData_1].[Revenue_Fact[Date]]].[All]" dimensionUniqueName="[Table_ExternalData_1]" displayFolder="" count="0" memberValueDatatype="7" unbalanced="0"/>
    <cacheHierarchy uniqueName="[Table_ExternalData_1].[Revenue_Fact[Client_id]]]" caption="Revenue_Fact[Client_id]" attribute="1" defaultMemberUniqueName="[Table_ExternalData_1].[Revenue_Fact[Client_id]]].[All]" allUniqueName="[Table_ExternalData_1].[Revenue_Fact[Client_id]]].[All]" dimensionUniqueName="[Table_ExternalData_1]" displayFolder="" count="0" memberValueDatatype="130" unbalanced="0"/>
    <cacheHierarchy uniqueName="[Table_ExternalData_1].[Revenue_Fact[Department_id]]]" caption="Revenue_Fact[Department_id]" attribute="1" defaultMemberUniqueName="[Table_ExternalData_1].[Revenue_Fact[Department_id]]].[All]" allUniqueName="[Table_ExternalData_1].[Revenue_Fact[Department_id]]].[All]" dimensionUniqueName="[Table_ExternalData_1]" displayFolder="" count="0" memberValueDatatype="20" unbalanced="0"/>
    <cacheHierarchy uniqueName="[Table_ExternalData_1].[Revenue_Fact[State_id]]]" caption="Revenue_Fact[State_id]" attribute="1" defaultMemberUniqueName="[Table_ExternalData_1].[Revenue_Fact[State_id]]].[All]" allUniqueName="[Table_ExternalData_1].[Revenue_Fact[State_id]]].[All]" dimensionUniqueName="[Table_ExternalData_1]" displayFolder="" count="0" memberValueDatatype="20" unbalanced="0"/>
    <cacheHierarchy uniqueName="[Table_ExternalData_1].[Revenue_Fact[Payment_id]]]" caption="Revenue_Fact[Payment_id]" attribute="1" defaultMemberUniqueName="[Table_ExternalData_1].[Revenue_Fact[Payment_id]]].[All]" allUniqueName="[Table_ExternalData_1].[Revenue_Fact[Payment_id]]].[All]" dimensionUniqueName="[Table_ExternalData_1]" displayFolder="" count="0" memberValueDatatype="20" unbalanced="0"/>
    <cacheHierarchy uniqueName="[Table_ExternalData_1].[Revenue_Fact[Revenue]]]" caption="Revenue_Fact[Revenue]" attribute="1" defaultMemberUniqueName="[Table_ExternalData_1].[Revenue_Fact[Revenue]]].[All]" allUniqueName="[Table_ExternalData_1].[Revenue_Fact[Revenue]]].[All]" dimensionUniqueName="[Table_ExternalData_1]" displayFolder="" count="0" memberValueDatatype="5" unbalanced="0"/>
    <cacheHierarchy uniqueName="[Table_ExternalData_1].[Revenue_Fact[Profit]]]" caption="Revenue_Fact[Profit]" attribute="1" defaultMemberUniqueName="[Table_ExternalData_1].[Revenue_Fact[Profit]]].[All]" allUniqueName="[Table_ExternalData_1].[Revenue_Fact[Profit]]].[All]" dimensionUniqueName="[Table_ExternalData_1]" displayFolder="" count="0" memberValueDatatype="20" unbalanced="0"/>
    <cacheHierarchy uniqueName="[Table_ExternalData_1].[Revenue_Fact[Profit Margin]]]" caption="Revenue_Fact[Profit Margin]" attribute="1" defaultMemberUniqueName="[Table_ExternalData_1].[Revenue_Fact[Profit Margin]]].[All]" allUniqueName="[Table_ExternalData_1].[Revenue_Fact[Profit Margin]]].[All]" dimensionUniqueName="[Table_ExternalData_1]" displayFolder="" count="0" memberValueDatatype="5" unbalanced="0"/>
    <cacheHierarchy uniqueName="[Table_ExternalData_1].[Revenue_Fact[Date]] (Month)]" caption="Revenue_Fact[Date] (Month)" attribute="1" defaultMemberUniqueName="[Table_ExternalData_1].[Revenue_Fact[Date]] (Month)].[All]" allUniqueName="[Table_ExternalData_1].[Revenue_Fact[Date]] (Month)].[All]" dimensionUniqueName="[Table_ExternalData_1]" displayFolder="" count="0" memberValueDatatype="130" unbalanced="0"/>
    <cacheHierarchy uniqueName="[Table_ExternalData_1].[Revenue_Fact[Date]] (Month Index)]" caption="Revenue_Fact[Date] (Month Index)" attribute="1" defaultMemberUniqueName="[Table_ExternalData_1].[Revenue_Fact[Date]] (Month Index)].[All]" allUniqueName="[Table_ExternalData_1].[Revenue_Fact[Date]] (Month Index)].[All]" dimensionUniqueName="[Table_ExternalData_1]"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y uniqueName="[Measures].[Sum of Revenue_Fact[Department_id]]]" caption="Sum of Revenue_Fact[Department_id]"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Client]" caption="Count of Client" measure="1" displayFolder="" measureGroup="Client_Dim" count="0" hidden="1">
      <extLst>
        <ext xmlns:x15="http://schemas.microsoft.com/office/spreadsheetml/2010/11/main" uri="{B97F6D7D-B522-45F9-BDA1-12C45D357490}">
          <x15:cacheHierarchy aggregatedColumn="0"/>
        </ext>
      </extLst>
    </cacheHierarchy>
    <cacheHierarchy uniqueName="[Measures].[Sum of Revenue_Fact[Revenue]]]" caption="Sum of Revenue_Fact[Revenue]" measure="1" displayFolder="" measureGroup="Table_ExternalData_1" count="0" hidden="1">
      <extLst>
        <ext xmlns:x15="http://schemas.microsoft.com/office/spreadsheetml/2010/11/main" uri="{B97F6D7D-B522-45F9-BDA1-12C45D357490}">
          <x15:cacheHierarchy aggregatedColumn="25"/>
        </ext>
      </extLst>
    </cacheHierarchy>
  </cacheHierarchies>
  <kpis count="0"/>
  <dimensions count="7">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 name="Table_ExternalData_1" uniqueName="[Table_ExternalData_1]" caption="Table_ExternalData_1"/>
  </dimensions>
  <measureGroups count="6">
    <measureGroup name="Client_Dim" caption="Client_Dim"/>
    <measureGroup name="Department_Dim" caption="Department_Dim"/>
    <measureGroup name="Payment_Dim" caption="Payment_Dim"/>
    <measureGroup name="Revenue_Fact" caption="Revenue_Fact"/>
    <measureGroup name="State_Dim" caption="State_Dim"/>
    <measureGroup name="Table_ExternalData_1" caption="Table_ExternalData_1"/>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OMLAB" refreshedDate="46073.76643703704" backgroundQuery="1" createdVersion="6" refreshedVersion="6" minRefreshableVersion="3" recordCount="0" supportSubquery="1" supportAdvancedDrill="1">
  <cacheSource type="external" connectionId="4"/>
  <cacheFields count="3">
    <cacheField name="[Measures].[Sum of Profit]" caption="Sum of Profit" numFmtId="0" hierarchy="38" level="32767"/>
    <cacheField name="[Revenue_Fact].[Date].[Date]" caption="Date" numFmtId="0" hierarchy="9" level="1">
      <sharedItems containsSemiMixedTypes="0" containsNonDate="0" containsString="0"/>
    </cacheField>
    <cacheField name="[State_Dim].[State].[State]" caption="State" numFmtId="0" hierarchy="17" level="1">
      <sharedItems containsSemiMixedTypes="0" containsNonDate="0" containsString="0"/>
    </cacheField>
  </cacheFields>
  <cacheHierarchies count="48">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1"/>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State_Dim].[State]" caption="State" attribute="1" defaultMemberUniqueName="[State_Dim].[State].[All]" allUniqueName="[State_Dim].[State].[All]" dimensionUniqueName="[State_Dim]" displayFolder="" count="2" memberValueDatatype="130" unbalanced="0">
      <fieldsUsage count="2">
        <fieldUsage x="-1"/>
        <fieldUsage x="2"/>
      </fieldsUsage>
    </cacheHierarchy>
    <cacheHierarchy uniqueName="[State_Dim].[State_id]" caption="State_id" attribute="1" defaultMemberUniqueName="[State_Dim].[State_id].[All]" allUniqueName="[State_Dim].[State_id].[All]" dimensionUniqueName="[State_Dim]" displayFolder="" count="0" memberValueDatatype="20" unbalanced="0"/>
    <cacheHierarchy uniqueName="[Table_ExternalData_1].[Revenue_Fact[Trans_id]]]" caption="Revenue_Fact[Trans_id]" attribute="1" defaultMemberUniqueName="[Table_ExternalData_1].[Revenue_Fact[Trans_id]]].[All]" allUniqueName="[Table_ExternalData_1].[Revenue_Fact[Trans_id]]].[All]" dimensionUniqueName="[Table_ExternalData_1]" displayFolder="" count="0" memberValueDatatype="130" unbalanced="0"/>
    <cacheHierarchy uniqueName="[Table_ExternalData_1].[Revenue_Fact[Date]]]" caption="Revenue_Fact[Date]" attribute="1" time="1" defaultMemberUniqueName="[Table_ExternalData_1].[Revenue_Fact[Date]]].[All]" allUniqueName="[Table_ExternalData_1].[Revenue_Fact[Date]]].[All]" dimensionUniqueName="[Table_ExternalData_1]" displayFolder="" count="0" memberValueDatatype="7" unbalanced="0"/>
    <cacheHierarchy uniqueName="[Table_ExternalData_1].[Revenue_Fact[Client_id]]]" caption="Revenue_Fact[Client_id]" attribute="1" defaultMemberUniqueName="[Table_ExternalData_1].[Revenue_Fact[Client_id]]].[All]" allUniqueName="[Table_ExternalData_1].[Revenue_Fact[Client_id]]].[All]" dimensionUniqueName="[Table_ExternalData_1]" displayFolder="" count="0" memberValueDatatype="130" unbalanced="0"/>
    <cacheHierarchy uniqueName="[Table_ExternalData_1].[Revenue_Fact[Department_id]]]" caption="Revenue_Fact[Department_id]" attribute="1" defaultMemberUniqueName="[Table_ExternalData_1].[Revenue_Fact[Department_id]]].[All]" allUniqueName="[Table_ExternalData_1].[Revenue_Fact[Department_id]]].[All]" dimensionUniqueName="[Table_ExternalData_1]" displayFolder="" count="0" memberValueDatatype="20" unbalanced="0"/>
    <cacheHierarchy uniqueName="[Table_ExternalData_1].[Revenue_Fact[State_id]]]" caption="Revenue_Fact[State_id]" attribute="1" defaultMemberUniqueName="[Table_ExternalData_1].[Revenue_Fact[State_id]]].[All]" allUniqueName="[Table_ExternalData_1].[Revenue_Fact[State_id]]].[All]" dimensionUniqueName="[Table_ExternalData_1]" displayFolder="" count="0" memberValueDatatype="20" unbalanced="0"/>
    <cacheHierarchy uniqueName="[Table_ExternalData_1].[Revenue_Fact[Payment_id]]]" caption="Revenue_Fact[Payment_id]" attribute="1" defaultMemberUniqueName="[Table_ExternalData_1].[Revenue_Fact[Payment_id]]].[All]" allUniqueName="[Table_ExternalData_1].[Revenue_Fact[Payment_id]]].[All]" dimensionUniqueName="[Table_ExternalData_1]" displayFolder="" count="0" memberValueDatatype="20" unbalanced="0"/>
    <cacheHierarchy uniqueName="[Table_ExternalData_1].[Revenue_Fact[Revenue]]]" caption="Revenue_Fact[Revenue]" attribute="1" defaultMemberUniqueName="[Table_ExternalData_1].[Revenue_Fact[Revenue]]].[All]" allUniqueName="[Table_ExternalData_1].[Revenue_Fact[Revenue]]].[All]" dimensionUniqueName="[Table_ExternalData_1]" displayFolder="" count="0" memberValueDatatype="5" unbalanced="0"/>
    <cacheHierarchy uniqueName="[Table_ExternalData_1].[Revenue_Fact[Profit]]]" caption="Revenue_Fact[Profit]" attribute="1" defaultMemberUniqueName="[Table_ExternalData_1].[Revenue_Fact[Profit]]].[All]" allUniqueName="[Table_ExternalData_1].[Revenue_Fact[Profit]]].[All]" dimensionUniqueName="[Table_ExternalData_1]" displayFolder="" count="0" memberValueDatatype="20" unbalanced="0"/>
    <cacheHierarchy uniqueName="[Table_ExternalData_1].[Revenue_Fact[Profit Margin]]]" caption="Revenue_Fact[Profit Margin]" attribute="1" defaultMemberUniqueName="[Table_ExternalData_1].[Revenue_Fact[Profit Margin]]].[All]" allUniqueName="[Table_ExternalData_1].[Revenue_Fact[Profit Margin]]].[All]" dimensionUniqueName="[Table_ExternalData_1]" displayFolder="" count="0" memberValueDatatype="5" unbalanced="0"/>
    <cacheHierarchy uniqueName="[Table_ExternalData_1].[Revenue_Fact[Date]] (Month)]" caption="Revenue_Fact[Date] (Month)" attribute="1" defaultMemberUniqueName="[Table_ExternalData_1].[Revenue_Fact[Date]] (Month)].[All]" allUniqueName="[Table_ExternalData_1].[Revenue_Fact[Date]] (Month)].[All]" dimensionUniqueName="[Table_ExternalData_1]" displayFolder="" count="0" memberValueDatatype="130" unbalanced="0"/>
    <cacheHierarchy uniqueName="[Table_ExternalData_1].[Revenue_Fact[Date]] (Month Index)]" caption="Revenue_Fact[Date] (Month Index)" attribute="1" defaultMemberUniqueName="[Table_ExternalData_1].[Revenue_Fact[Date]] (Month Index)].[All]" allUniqueName="[Table_ExternalData_1].[Revenue_Fact[Date]] (Month Index)].[All]" dimensionUniqueName="[Table_ExternalData_1]"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y uniqueName="[Measures].[Sum of Revenue_Fact[Department_id]]]" caption="Sum of Revenue_Fact[Department_id]"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Client]" caption="Count of Client" measure="1" displayFolder="" measureGroup="Client_Dim" count="0" hidden="1">
      <extLst>
        <ext xmlns:x15="http://schemas.microsoft.com/office/spreadsheetml/2010/11/main" uri="{B97F6D7D-B522-45F9-BDA1-12C45D357490}">
          <x15:cacheHierarchy aggregatedColumn="0"/>
        </ext>
      </extLst>
    </cacheHierarchy>
    <cacheHierarchy uniqueName="[Measures].[Sum of Revenue_Fact[Revenue]]]" caption="Sum of Revenue_Fact[Revenue]" measure="1" displayFolder="" measureGroup="Table_ExternalData_1" count="0" hidden="1">
      <extLst>
        <ext xmlns:x15="http://schemas.microsoft.com/office/spreadsheetml/2010/11/main" uri="{B97F6D7D-B522-45F9-BDA1-12C45D357490}">
          <x15:cacheHierarchy aggregatedColumn="25"/>
        </ext>
      </extLst>
    </cacheHierarchy>
  </cacheHierarchies>
  <kpis count="0"/>
  <dimensions count="7">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 name="Table_ExternalData_1" uniqueName="[Table_ExternalData_1]" caption="Table_ExternalData_1"/>
  </dimensions>
  <measureGroups count="6">
    <measureGroup name="Client_Dim" caption="Client_Dim"/>
    <measureGroup name="Department_Dim" caption="Department_Dim"/>
    <measureGroup name="Payment_Dim" caption="Payment_Dim"/>
    <measureGroup name="Revenue_Fact" caption="Revenue_Fact"/>
    <measureGroup name="State_Dim" caption="State_Dim"/>
    <measureGroup name="Table_ExternalData_1" caption="Table_ExternalData_1"/>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OMLAB" refreshedDate="46073.766437500002" backgroundQuery="1" createdVersion="6" refreshedVersion="6" minRefreshableVersion="3" recordCount="0" supportSubquery="1" supportAdvancedDrill="1">
  <cacheSource type="external" connectionId="4"/>
  <cacheFields count="3">
    <cacheField name="[Measures].[Sum of Revenue]" caption="Sum of Revenue" numFmtId="0" hierarchy="37" level="32767"/>
    <cacheField name="[State_Dim].[State].[State]" caption="State" numFmtId="0" hierarchy="17" level="1">
      <sharedItems count="1">
        <s v="California"/>
      </sharedItems>
    </cacheField>
    <cacheField name="[Revenue_Fact].[Date].[Date]" caption="Date" numFmtId="0" hierarchy="9" level="1">
      <sharedItems containsSemiMixedTypes="0" containsNonDate="0" containsString="0"/>
    </cacheField>
  </cacheFields>
  <cacheHierarchies count="48">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20" unbalanced="0"/>
    <cacheHierarchy uniqueName="[Payment_Dim].[Payment]" caption="Payment" attribute="1" defaultMemberUniqueName="[Payment_Dim].[Payment].[All]" allUniqueName="[Payment_Dim].[Payment].[All]" dimensionUniqueName="[Payment_Dim]" displayFolder="" count="2" memberValueDatatype="130" unbalanced="0"/>
    <cacheHierarchy uniqueName="[Payment_Dim].[Payment_Id]" caption="Payment_Id" attribute="1" defaultMemberUniqueName="[Payment_Dim].[Payment_Id].[All]" allUniqueName="[Payment_Dim].[Payment_Id].[All]" dimensionUniqueName="[Payment_Dim]" displayFolder="" count="2" memberValueDatatype="2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20" unbalanced="0"/>
    <cacheHierarchy uniqueName="[Revenue_Fact].[State_id]" caption="State_id" attribute="1" defaultMemberUniqueName="[Revenue_Fact].[State_id].[All]" allUniqueName="[Revenue_Fact].[State_id].[All]" dimensionUniqueName="[Revenue_Fact]" displayFolder="" count="2" memberValueDatatype="20" unbalanced="0"/>
    <cacheHierarchy uniqueName="[Revenue_Fact].[Payment_id]" caption="Payment_id" attribute="1" defaultMemberUniqueName="[Revenue_Fact].[Payment_id].[All]" allUniqueName="[Revenue_Fact].[Payment_id].[All]" dimensionUniqueName="[Revenue_Fact]" displayFolder="" count="2" memberValueDatatype="2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2" memberValueDatatype="20" unbalanced="0"/>
    <cacheHierarchy uniqueName="[Table_ExternalData_1].[Revenue_Fact[Trans_id]]]" caption="Revenue_Fact[Trans_id]" attribute="1" defaultMemberUniqueName="[Table_ExternalData_1].[Revenue_Fact[Trans_id]]].[All]" allUniqueName="[Table_ExternalData_1].[Revenue_Fact[Trans_id]]].[All]" dimensionUniqueName="[Table_ExternalData_1]" displayFolder="" count="2" memberValueDatatype="130" unbalanced="0"/>
    <cacheHierarchy uniqueName="[Table_ExternalData_1].[Revenue_Fact[Date]]]" caption="Revenue_Fact[Date]" attribute="1" time="1" defaultMemberUniqueName="[Table_ExternalData_1].[Revenue_Fact[Date]]].[All]" allUniqueName="[Table_ExternalData_1].[Revenue_Fact[Date]]].[All]" dimensionUniqueName="[Table_ExternalData_1]" displayFolder="" count="2" memberValueDatatype="7" unbalanced="0"/>
    <cacheHierarchy uniqueName="[Table_ExternalData_1].[Revenue_Fact[Client_id]]]" caption="Revenue_Fact[Client_id]" attribute="1" defaultMemberUniqueName="[Table_ExternalData_1].[Revenue_Fact[Client_id]]].[All]" allUniqueName="[Table_ExternalData_1].[Revenue_Fact[Client_id]]].[All]" dimensionUniqueName="[Table_ExternalData_1]" displayFolder="" count="2" memberValueDatatype="130" unbalanced="0"/>
    <cacheHierarchy uniqueName="[Table_ExternalData_1].[Revenue_Fact[Department_id]]]" caption="Revenue_Fact[Department_id]" attribute="1" defaultMemberUniqueName="[Table_ExternalData_1].[Revenue_Fact[Department_id]]].[All]" allUniqueName="[Table_ExternalData_1].[Revenue_Fact[Department_id]]].[All]" dimensionUniqueName="[Table_ExternalData_1]" displayFolder="" count="2" memberValueDatatype="20" unbalanced="0"/>
    <cacheHierarchy uniqueName="[Table_ExternalData_1].[Revenue_Fact[State_id]]]" caption="Revenue_Fact[State_id]" attribute="1" defaultMemberUniqueName="[Table_ExternalData_1].[Revenue_Fact[State_id]]].[All]" allUniqueName="[Table_ExternalData_1].[Revenue_Fact[State_id]]].[All]" dimensionUniqueName="[Table_ExternalData_1]" displayFolder="" count="2" memberValueDatatype="20" unbalanced="0"/>
    <cacheHierarchy uniqueName="[Table_ExternalData_1].[Revenue_Fact[Payment_id]]]" caption="Revenue_Fact[Payment_id]" attribute="1" defaultMemberUniqueName="[Table_ExternalData_1].[Revenue_Fact[Payment_id]]].[All]" allUniqueName="[Table_ExternalData_1].[Revenue_Fact[Payment_id]]].[All]" dimensionUniqueName="[Table_ExternalData_1]" displayFolder="" count="2" memberValueDatatype="20" unbalanced="0"/>
    <cacheHierarchy uniqueName="[Table_ExternalData_1].[Revenue_Fact[Revenue]]]" caption="Revenue_Fact[Revenue]" attribute="1" defaultMemberUniqueName="[Table_ExternalData_1].[Revenue_Fact[Revenue]]].[All]" allUniqueName="[Table_ExternalData_1].[Revenue_Fact[Revenue]]].[All]" dimensionUniqueName="[Table_ExternalData_1]" displayFolder="" count="2" memberValueDatatype="5" unbalanced="0"/>
    <cacheHierarchy uniqueName="[Table_ExternalData_1].[Revenue_Fact[Profit]]]" caption="Revenue_Fact[Profit]" attribute="1" defaultMemberUniqueName="[Table_ExternalData_1].[Revenue_Fact[Profit]]].[All]" allUniqueName="[Table_ExternalData_1].[Revenue_Fact[Profit]]].[All]" dimensionUniqueName="[Table_ExternalData_1]" displayFolder="" count="2" memberValueDatatype="20" unbalanced="0"/>
    <cacheHierarchy uniqueName="[Table_ExternalData_1].[Revenue_Fact[Profit Margin]]]" caption="Revenue_Fact[Profit Margin]" attribute="1" defaultMemberUniqueName="[Table_ExternalData_1].[Revenue_Fact[Profit Margin]]].[All]" allUniqueName="[Table_ExternalData_1].[Revenue_Fact[Profit Margin]]].[All]" dimensionUniqueName="[Table_ExternalData_1]" displayFolder="" count="2" memberValueDatatype="5" unbalanced="0"/>
    <cacheHierarchy uniqueName="[Table_ExternalData_1].[Revenue_Fact[Date]] (Month)]" caption="Revenue_Fact[Date] (Month)" attribute="1" defaultMemberUniqueName="[Table_ExternalData_1].[Revenue_Fact[Date]] (Month)].[All]" allUniqueName="[Table_ExternalData_1].[Revenue_Fact[Date]] (Month)].[All]" dimensionUniqueName="[Table_ExternalData_1]" displayFolder="" count="2" memberValueDatatype="130" unbalanced="0"/>
    <cacheHierarchy uniqueName="[Table_ExternalData_1].[Revenue_Fact[Date]] (Month Index)]" caption="Revenue_Fact[Date] (Month Index)" attribute="1" defaultMemberUniqueName="[Table_ExternalData_1].[Revenue_Fact[Date]] (Month Index)].[All]" allUniqueName="[Table_ExternalData_1].[Revenue_Fact[Date]] (Month Index)].[All]" dimensionUniqueName="[Table_ExternalData_1]"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y uniqueName="[Measures].[Sum of Revenue_Fact[Department_id]]]" caption="Sum of Revenue_Fact[Department_id]"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Client]" caption="Count of Client" measure="1" displayFolder="" measureGroup="Client_Dim" count="0" hidden="1">
      <extLst>
        <ext xmlns:x15="http://schemas.microsoft.com/office/spreadsheetml/2010/11/main" uri="{B97F6D7D-B522-45F9-BDA1-12C45D357490}">
          <x15:cacheHierarchy aggregatedColumn="0"/>
        </ext>
      </extLst>
    </cacheHierarchy>
    <cacheHierarchy uniqueName="[Measures].[Sum of Revenue_Fact[Revenue]]]" caption="Sum of Revenue_Fact[Revenue]" measure="1" displayFolder="" measureGroup="Table_ExternalData_1" count="0" hidden="1">
      <extLst>
        <ext xmlns:x15="http://schemas.microsoft.com/office/spreadsheetml/2010/11/main" uri="{B97F6D7D-B522-45F9-BDA1-12C45D357490}">
          <x15:cacheHierarchy aggregatedColumn="25"/>
        </ext>
      </extLst>
    </cacheHierarchy>
  </cacheHierarchies>
  <kpis count="0"/>
  <dimensions count="7">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 name="Table_ExternalData_1" uniqueName="[Table_ExternalData_1]" caption="Table_ExternalData_1"/>
  </dimensions>
  <measureGroups count="6">
    <measureGroup name="Client_Dim" caption="Client_Dim"/>
    <measureGroup name="Department_Dim" caption="Department_Dim"/>
    <measureGroup name="Payment_Dim" caption="Payment_Dim"/>
    <measureGroup name="Revenue_Fact" caption="Revenue_Fact"/>
    <measureGroup name="State_Dim" caption="State_Dim"/>
    <measureGroup name="Table_ExternalData_1" caption="Table_ExternalData_1"/>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OMLAB" refreshedDate="46073.766437962964" backgroundQuery="1" createdVersion="6" refreshedVersion="6" minRefreshableVersion="3" recordCount="0" supportSubquery="1" supportAdvancedDrill="1">
  <cacheSource type="external" connectionId="4"/>
  <cacheFields count="4">
    <cacheField name="[Table_ExternalData_1].[Revenue_Fact[Date]] (Month)].[Revenue_Fact[Date]] (Month)]" caption="Revenue_Fact[Date] (Month)" numFmtId="0" hierarchy="28" level="1">
      <sharedItems count="2">
        <s v="May"/>
        <s v="Jun"/>
      </sharedItems>
    </cacheField>
    <cacheField name="[Measures].[Sum of Revenue_Fact[Revenue]]]" caption="Sum of Revenue_Fact[Revenue]" numFmtId="0" hierarchy="47" level="32767"/>
    <cacheField name="[Revenue_Fact].[Date].[Date]" caption="Date" numFmtId="0" hierarchy="9" level="1">
      <sharedItems containsSemiMixedTypes="0" containsNonDate="0" containsString="0"/>
    </cacheField>
    <cacheField name="[State_Dim].[State].[State]" caption="State" numFmtId="0" hierarchy="17" level="1">
      <sharedItems containsSemiMixedTypes="0" containsNonDate="0" containsString="0"/>
    </cacheField>
  </cacheFields>
  <cacheHierarchies count="48">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20" unbalanced="0"/>
    <cacheHierarchy uniqueName="[Payment_Dim].[Payment]" caption="Payment" attribute="1" defaultMemberUniqueName="[Payment_Dim].[Payment].[All]" allUniqueName="[Payment_Dim].[Payment].[All]" dimensionUniqueName="[Payment_Dim]" displayFolder="" count="2" memberValueDatatype="130" unbalanced="0"/>
    <cacheHierarchy uniqueName="[Payment_Dim].[Payment_Id]" caption="Payment_Id" attribute="1" defaultMemberUniqueName="[Payment_Dim].[Payment_Id].[All]" allUniqueName="[Payment_Dim].[Payment_Id].[All]" dimensionUniqueName="[Payment_Dim]" displayFolder="" count="2" memberValueDatatype="2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20" unbalanced="0"/>
    <cacheHierarchy uniqueName="[Revenue_Fact].[State_id]" caption="State_id" attribute="1" defaultMemberUniqueName="[Revenue_Fact].[State_id].[All]" allUniqueName="[Revenue_Fact].[State_id].[All]" dimensionUniqueName="[Revenue_Fact]" displayFolder="" count="2" memberValueDatatype="20" unbalanced="0"/>
    <cacheHierarchy uniqueName="[Revenue_Fact].[Payment_id]" caption="Payment_id" attribute="1" defaultMemberUniqueName="[Revenue_Fact].[Payment_id].[All]" allUniqueName="[Revenue_Fact].[Payment_id].[All]" dimensionUniqueName="[Revenue_Fact]" displayFolder="" count="2" memberValueDatatype="2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State_Dim].[State]" caption="State" attribute="1" defaultMemberUniqueName="[State_Dim].[State].[All]" allUniqueName="[State_Dim].[State].[All]" dimensionUniqueName="[State_Dim]" displayFolder="" count="2" memberValueDatatype="130" unbalanced="0">
      <fieldsUsage count="2">
        <fieldUsage x="-1"/>
        <fieldUsage x="3"/>
      </fieldsUsage>
    </cacheHierarchy>
    <cacheHierarchy uniqueName="[State_Dim].[State_id]" caption="State_id" attribute="1" defaultMemberUniqueName="[State_Dim].[State_id].[All]" allUniqueName="[State_Dim].[State_id].[All]" dimensionUniqueName="[State_Dim]" displayFolder="" count="2" memberValueDatatype="20" unbalanced="0"/>
    <cacheHierarchy uniqueName="[Table_ExternalData_1].[Revenue_Fact[Trans_id]]]" caption="Revenue_Fact[Trans_id]" attribute="1" defaultMemberUniqueName="[Table_ExternalData_1].[Revenue_Fact[Trans_id]]].[All]" allUniqueName="[Table_ExternalData_1].[Revenue_Fact[Trans_id]]].[All]" dimensionUniqueName="[Table_ExternalData_1]" displayFolder="" count="2" memberValueDatatype="130" unbalanced="0"/>
    <cacheHierarchy uniqueName="[Table_ExternalData_1].[Revenue_Fact[Date]]]" caption="Revenue_Fact[Date]" attribute="1" time="1" defaultMemberUniqueName="[Table_ExternalData_1].[Revenue_Fact[Date]]].[All]" allUniqueName="[Table_ExternalData_1].[Revenue_Fact[Date]]].[All]" dimensionUniqueName="[Table_ExternalData_1]" displayFolder="" count="2" memberValueDatatype="7" unbalanced="0"/>
    <cacheHierarchy uniqueName="[Table_ExternalData_1].[Revenue_Fact[Client_id]]]" caption="Revenue_Fact[Client_id]" attribute="1" defaultMemberUniqueName="[Table_ExternalData_1].[Revenue_Fact[Client_id]]].[All]" allUniqueName="[Table_ExternalData_1].[Revenue_Fact[Client_id]]].[All]" dimensionUniqueName="[Table_ExternalData_1]" displayFolder="" count="2" memberValueDatatype="130" unbalanced="0"/>
    <cacheHierarchy uniqueName="[Table_ExternalData_1].[Revenue_Fact[Department_id]]]" caption="Revenue_Fact[Department_id]" attribute="1" defaultMemberUniqueName="[Table_ExternalData_1].[Revenue_Fact[Department_id]]].[All]" allUniqueName="[Table_ExternalData_1].[Revenue_Fact[Department_id]]].[All]" dimensionUniqueName="[Table_ExternalData_1]" displayFolder="" count="2" memberValueDatatype="20" unbalanced="0"/>
    <cacheHierarchy uniqueName="[Table_ExternalData_1].[Revenue_Fact[State_id]]]" caption="Revenue_Fact[State_id]" attribute="1" defaultMemberUniqueName="[Table_ExternalData_1].[Revenue_Fact[State_id]]].[All]" allUniqueName="[Table_ExternalData_1].[Revenue_Fact[State_id]]].[All]" dimensionUniqueName="[Table_ExternalData_1]" displayFolder="" count="2" memberValueDatatype="20" unbalanced="0"/>
    <cacheHierarchy uniqueName="[Table_ExternalData_1].[Revenue_Fact[Payment_id]]]" caption="Revenue_Fact[Payment_id]" attribute="1" defaultMemberUniqueName="[Table_ExternalData_1].[Revenue_Fact[Payment_id]]].[All]" allUniqueName="[Table_ExternalData_1].[Revenue_Fact[Payment_id]]].[All]" dimensionUniqueName="[Table_ExternalData_1]" displayFolder="" count="2" memberValueDatatype="20" unbalanced="0"/>
    <cacheHierarchy uniqueName="[Table_ExternalData_1].[Revenue_Fact[Revenue]]]" caption="Revenue_Fact[Revenue]" attribute="1" defaultMemberUniqueName="[Table_ExternalData_1].[Revenue_Fact[Revenue]]].[All]" allUniqueName="[Table_ExternalData_1].[Revenue_Fact[Revenue]]].[All]" dimensionUniqueName="[Table_ExternalData_1]" displayFolder="" count="2" memberValueDatatype="5" unbalanced="0"/>
    <cacheHierarchy uniqueName="[Table_ExternalData_1].[Revenue_Fact[Profit]]]" caption="Revenue_Fact[Profit]" attribute="1" defaultMemberUniqueName="[Table_ExternalData_1].[Revenue_Fact[Profit]]].[All]" allUniqueName="[Table_ExternalData_1].[Revenue_Fact[Profit]]].[All]" dimensionUniqueName="[Table_ExternalData_1]" displayFolder="" count="2" memberValueDatatype="20" unbalanced="0"/>
    <cacheHierarchy uniqueName="[Table_ExternalData_1].[Revenue_Fact[Profit Margin]]]" caption="Revenue_Fact[Profit Margin]" attribute="1" defaultMemberUniqueName="[Table_ExternalData_1].[Revenue_Fact[Profit Margin]]].[All]" allUniqueName="[Table_ExternalData_1].[Revenue_Fact[Profit Margin]]].[All]" dimensionUniqueName="[Table_ExternalData_1]" displayFolder="" count="2" memberValueDatatype="5" unbalanced="0"/>
    <cacheHierarchy uniqueName="[Table_ExternalData_1].[Revenue_Fact[Date]] (Month)]" caption="Revenue_Fact[Date] (Month)" attribute="1" defaultMemberUniqueName="[Table_ExternalData_1].[Revenue_Fact[Date]] (Month)].[All]" allUniqueName="[Table_ExternalData_1].[Revenue_Fact[Date]] (Month)].[All]" dimensionUniqueName="[Table_ExternalData_1]" displayFolder="" count="2" memberValueDatatype="130" unbalanced="0">
      <fieldsUsage count="2">
        <fieldUsage x="-1"/>
        <fieldUsage x="0"/>
      </fieldsUsage>
    </cacheHierarchy>
    <cacheHierarchy uniqueName="[Table_ExternalData_1].[Revenue_Fact[Date]] (Month Index)]" caption="Revenue_Fact[Date] (Month Index)" attribute="1" defaultMemberUniqueName="[Table_ExternalData_1].[Revenue_Fact[Date]] (Month Index)].[All]" allUniqueName="[Table_ExternalData_1].[Revenue_Fact[Date]] (Month Index)].[All]" dimensionUniqueName="[Table_ExternalData_1]"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y uniqueName="[Measures].[Sum of Revenue_Fact[Department_id]]]" caption="Sum of Revenue_Fact[Department_id]"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Client]" caption="Count of Client" measure="1" displayFolder="" measureGroup="Client_Dim" count="0" hidden="1">
      <extLst>
        <ext xmlns:x15="http://schemas.microsoft.com/office/spreadsheetml/2010/11/main" uri="{B97F6D7D-B522-45F9-BDA1-12C45D357490}">
          <x15:cacheHierarchy aggregatedColumn="0"/>
        </ext>
      </extLst>
    </cacheHierarchy>
    <cacheHierarchy uniqueName="[Measures].[Sum of Revenue_Fact[Revenue]]]" caption="Sum of Revenue_Fact[Revenue]" measure="1" displayFolder="" measureGroup="Table_ExternalData_1"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7">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 name="Table_ExternalData_1" uniqueName="[Table_ExternalData_1]" caption="Table_ExternalData_1"/>
  </dimensions>
  <measureGroups count="6">
    <measureGroup name="Client_Dim" caption="Client_Dim"/>
    <measureGroup name="Department_Dim" caption="Department_Dim"/>
    <measureGroup name="Payment_Dim" caption="Payment_Dim"/>
    <measureGroup name="Revenue_Fact" caption="Revenue_Fact"/>
    <measureGroup name="State_Dim" caption="State_Dim"/>
    <measureGroup name="Table_ExternalData_1" caption="Table_ExternalData_1"/>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COMLAB" refreshedDate="46073.766438310187" backgroundQuery="1" createdVersion="6" refreshedVersion="6" minRefreshableVersion="3" recordCount="0" supportSubquery="1" supportAdvancedDrill="1">
  <cacheSource type="external" connectionId="4"/>
  <cacheFields count="6">
    <cacheField name="[Measures].[Sum of Revenue]" caption="Sum of Revenue" numFmtId="0" hierarchy="37" level="32767"/>
    <cacheField name="[State_Dim].[State].[State]" caption="State" numFmtId="0" hierarchy="17" level="1">
      <sharedItems count="4">
        <s v="California"/>
        <s v="Texas" u="1"/>
        <s v="New York" u="1"/>
        <s v="Florida" u="1"/>
      </sharedItems>
    </cacheField>
    <cacheField name="[Measures].[Sum of Profit]" caption="Sum of Profit" numFmtId="0" hierarchy="38" level="32767"/>
    <cacheField name="[Client_Dim].[Client].[Client]" caption="Client" numFmtId="0" level="1">
      <sharedItems containsNonDate="0" count="5">
        <s v="CHEVRON CORPORATION"/>
        <s v="CISCO SYSTEMS, INC."/>
        <s v="COSTCO WHOLESALE CORPORATION"/>
        <s v="THE GOLDMAN SACHS GROUP, INC."/>
        <s v="THE PROCTER &amp; GAMBLE COMPANY"/>
      </sharedItems>
    </cacheField>
    <cacheField name="[Revenue_Fact].[Revenue].[Revenue]" caption="Revenue" numFmtId="0" hierarchy="14" level="1">
      <sharedItems containsSemiMixedTypes="0" containsNonDate="0" containsString="0"/>
    </cacheField>
    <cacheField name="[Revenue_Fact].[Date].[Date]" caption="Date" numFmtId="0" hierarchy="9" level="1">
      <sharedItems containsSemiMixedTypes="0" containsNonDate="0" containsString="0"/>
    </cacheField>
  </cacheFields>
  <cacheHierarchies count="48">
    <cacheHierarchy uniqueName="[Client_Dim].[Client]" caption="Client" attribute="1" defaultMemberUniqueName="[Client_Dim].[Client].[All]" allUniqueName="[Client_Dim].[Client].[All]" dimensionUniqueName="[Client_Dim]" displayFolder="" count="2" memberValueDatatype="130" unbalanced="0">
      <fieldsUsage count="2">
        <fieldUsage x="-1"/>
        <fieldUsage x="3"/>
      </fieldsUsage>
    </cacheHierarchy>
    <cacheHierarchy uniqueName="[Client_Dim].[Client_id]" caption="Client_id" attribute="1" defaultMemberUniqueName="[Client_Dim].[Client_id].[All]" allUniqueName="[Client_Dim].[Client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20" unbalanced="0"/>
    <cacheHierarchy uniqueName="[Payment_Dim].[Payment]" caption="Payment" attribute="1" defaultMemberUniqueName="[Payment_Dim].[Payment].[All]" allUniqueName="[Payment_Dim].[Payment].[All]" dimensionUniqueName="[Payment_Dim]" displayFolder="" count="2" memberValueDatatype="130" unbalanced="0"/>
    <cacheHierarchy uniqueName="[Payment_Dim].[Payment_Id]" caption="Payment_Id" attribute="1" defaultMemberUniqueName="[Payment_Dim].[Payment_Id].[All]" allUniqueName="[Payment_Dim].[Payment_Id].[All]" dimensionUniqueName="[Payment_Dim]" displayFolder="" count="2" memberValueDatatype="2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5"/>
      </fieldsUsage>
    </cacheHierarchy>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20" unbalanced="0"/>
    <cacheHierarchy uniqueName="[Revenue_Fact].[State_id]" caption="State_id" attribute="1" defaultMemberUniqueName="[Revenue_Fact].[State_id].[All]" allUniqueName="[Revenue_Fact].[State_id].[All]" dimensionUniqueName="[Revenue_Fact]" displayFolder="" count="2" memberValueDatatype="20" unbalanced="0"/>
    <cacheHierarchy uniqueName="[Revenue_Fact].[Payment_id]" caption="Payment_id" attribute="1" defaultMemberUniqueName="[Revenue_Fact].[Payment_id].[All]" allUniqueName="[Revenue_Fact].[Payment_id].[All]" dimensionUniqueName="[Revenue_Fact]" displayFolder="" count="2" memberValueDatatype="20" unbalanced="0"/>
    <cacheHierarchy uniqueName="[Revenue_Fact].[Revenue]" caption="Revenue" attribute="1" defaultMemberUniqueName="[Revenue_Fact].[Revenue].[All]" allUniqueName="[Revenue_Fact].[Revenue].[All]" dimensionUniqueName="[Revenue_Fact]" displayFolder="" count="2" memberValueDatatype="5" unbalanced="0">
      <fieldsUsage count="2">
        <fieldUsage x="-1"/>
        <fieldUsage x="4"/>
      </fieldsUsage>
    </cacheHierarchy>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2" memberValueDatatype="20" unbalanced="0"/>
    <cacheHierarchy uniqueName="[Table_ExternalData_1].[Revenue_Fact[Trans_id]]]" caption="Revenue_Fact[Trans_id]" attribute="1" defaultMemberUniqueName="[Table_ExternalData_1].[Revenue_Fact[Trans_id]]].[All]" allUniqueName="[Table_ExternalData_1].[Revenue_Fact[Trans_id]]].[All]" dimensionUniqueName="[Table_ExternalData_1]" displayFolder="" count="2" memberValueDatatype="130" unbalanced="0"/>
    <cacheHierarchy uniqueName="[Table_ExternalData_1].[Revenue_Fact[Date]]]" caption="Revenue_Fact[Date]" attribute="1" time="1" defaultMemberUniqueName="[Table_ExternalData_1].[Revenue_Fact[Date]]].[All]" allUniqueName="[Table_ExternalData_1].[Revenue_Fact[Date]]].[All]" dimensionUniqueName="[Table_ExternalData_1]" displayFolder="" count="2" memberValueDatatype="7" unbalanced="0"/>
    <cacheHierarchy uniqueName="[Table_ExternalData_1].[Revenue_Fact[Client_id]]]" caption="Revenue_Fact[Client_id]" attribute="1" defaultMemberUniqueName="[Table_ExternalData_1].[Revenue_Fact[Client_id]]].[All]" allUniqueName="[Table_ExternalData_1].[Revenue_Fact[Client_id]]].[All]" dimensionUniqueName="[Table_ExternalData_1]" displayFolder="" count="2" memberValueDatatype="130" unbalanced="0"/>
    <cacheHierarchy uniqueName="[Table_ExternalData_1].[Revenue_Fact[Department_id]]]" caption="Revenue_Fact[Department_id]" attribute="1" defaultMemberUniqueName="[Table_ExternalData_1].[Revenue_Fact[Department_id]]].[All]" allUniqueName="[Table_ExternalData_1].[Revenue_Fact[Department_id]]].[All]" dimensionUniqueName="[Table_ExternalData_1]" displayFolder="" count="2" memberValueDatatype="20" unbalanced="0"/>
    <cacheHierarchy uniqueName="[Table_ExternalData_1].[Revenue_Fact[State_id]]]" caption="Revenue_Fact[State_id]" attribute="1" defaultMemberUniqueName="[Table_ExternalData_1].[Revenue_Fact[State_id]]].[All]" allUniqueName="[Table_ExternalData_1].[Revenue_Fact[State_id]]].[All]" dimensionUniqueName="[Table_ExternalData_1]" displayFolder="" count="2" memberValueDatatype="20" unbalanced="0"/>
    <cacheHierarchy uniqueName="[Table_ExternalData_1].[Revenue_Fact[Payment_id]]]" caption="Revenue_Fact[Payment_id]" attribute="1" defaultMemberUniqueName="[Table_ExternalData_1].[Revenue_Fact[Payment_id]]].[All]" allUniqueName="[Table_ExternalData_1].[Revenue_Fact[Payment_id]]].[All]" dimensionUniqueName="[Table_ExternalData_1]" displayFolder="" count="2" memberValueDatatype="20" unbalanced="0"/>
    <cacheHierarchy uniqueName="[Table_ExternalData_1].[Revenue_Fact[Revenue]]]" caption="Revenue_Fact[Revenue]" attribute="1" defaultMemberUniqueName="[Table_ExternalData_1].[Revenue_Fact[Revenue]]].[All]" allUniqueName="[Table_ExternalData_1].[Revenue_Fact[Revenue]]].[All]" dimensionUniqueName="[Table_ExternalData_1]" displayFolder="" count="2" memberValueDatatype="5" unbalanced="0"/>
    <cacheHierarchy uniqueName="[Table_ExternalData_1].[Revenue_Fact[Profit]]]" caption="Revenue_Fact[Profit]" attribute="1" defaultMemberUniqueName="[Table_ExternalData_1].[Revenue_Fact[Profit]]].[All]" allUniqueName="[Table_ExternalData_1].[Revenue_Fact[Profit]]].[All]" dimensionUniqueName="[Table_ExternalData_1]" displayFolder="" count="2" memberValueDatatype="20" unbalanced="0"/>
    <cacheHierarchy uniqueName="[Table_ExternalData_1].[Revenue_Fact[Profit Margin]]]" caption="Revenue_Fact[Profit Margin]" attribute="1" defaultMemberUniqueName="[Table_ExternalData_1].[Revenue_Fact[Profit Margin]]].[All]" allUniqueName="[Table_ExternalData_1].[Revenue_Fact[Profit Margin]]].[All]" dimensionUniqueName="[Table_ExternalData_1]" displayFolder="" count="2" memberValueDatatype="5" unbalanced="0"/>
    <cacheHierarchy uniqueName="[Table_ExternalData_1].[Revenue_Fact[Date]] (Month)]" caption="Revenue_Fact[Date] (Month)" attribute="1" defaultMemberUniqueName="[Table_ExternalData_1].[Revenue_Fact[Date]] (Month)].[All]" allUniqueName="[Table_ExternalData_1].[Revenue_Fact[Date]] (Month)].[All]" dimensionUniqueName="[Table_ExternalData_1]" displayFolder="" count="2" memberValueDatatype="130" unbalanced="0"/>
    <cacheHierarchy uniqueName="[Table_ExternalData_1].[Revenue_Fact[Date]] (Month Index)]" caption="Revenue_Fact[Date] (Month Index)" attribute="1" defaultMemberUniqueName="[Table_ExternalData_1].[Revenue_Fact[Date]] (Month Index)].[All]" allUniqueName="[Table_ExternalData_1].[Revenue_Fact[Date]] (Month Index)].[All]" dimensionUniqueName="[Table_ExternalData_1]"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y uniqueName="[Measures].[Sum of Revenue_Fact[Department_id]]]" caption="Sum of Revenue_Fact[Department_id]"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Client]" caption="Count of Client" measure="1" displayFolder="" measureGroup="Client_Dim" count="0" hidden="1">
      <extLst>
        <ext xmlns:x15="http://schemas.microsoft.com/office/spreadsheetml/2010/11/main" uri="{B97F6D7D-B522-45F9-BDA1-12C45D357490}">
          <x15:cacheHierarchy aggregatedColumn="0"/>
        </ext>
      </extLst>
    </cacheHierarchy>
    <cacheHierarchy uniqueName="[Measures].[Sum of Revenue_Fact[Revenue]]]" caption="Sum of Revenue_Fact[Revenue]" measure="1" displayFolder="" measureGroup="Table_ExternalData_1" count="0" hidden="1">
      <extLst>
        <ext xmlns:x15="http://schemas.microsoft.com/office/spreadsheetml/2010/11/main" uri="{B97F6D7D-B522-45F9-BDA1-12C45D357490}">
          <x15:cacheHierarchy aggregatedColumn="25"/>
        </ext>
      </extLst>
    </cacheHierarchy>
  </cacheHierarchies>
  <kpis count="0"/>
  <dimensions count="7">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 name="Table_ExternalData_1" uniqueName="[Table_ExternalData_1]" caption="Table_ExternalData_1"/>
  </dimensions>
  <measureGroups count="6">
    <measureGroup name="Client_Dim" caption="Client_Dim"/>
    <measureGroup name="Department_Dim" caption="Department_Dim"/>
    <measureGroup name="Payment_Dim" caption="Payment_Dim"/>
    <measureGroup name="Revenue_Fact" caption="Revenue_Fact"/>
    <measureGroup name="State_Dim" caption="State_Dim"/>
    <measureGroup name="Table_ExternalData_1" caption="Table_ExternalData_1"/>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COMLAB" refreshedDate="46073.766438773149" backgroundQuery="1" createdVersion="6" refreshedVersion="6" minRefreshableVersion="3" recordCount="0" supportSubquery="1" supportAdvancedDrill="1">
  <cacheSource type="external" connectionId="4"/>
  <cacheFields count="4">
    <cacheField name="[Measures].[Sum of Revenue]" caption="Sum of Revenue" numFmtId="0" hierarchy="37" level="32767"/>
    <cacheField name="[State_Dim].[State].[State]" caption="State" numFmtId="0" hierarchy="17" level="1">
      <sharedItems count="4">
        <s v="California"/>
        <s v="Florida"/>
        <s v="New York"/>
        <s v="Texas"/>
      </sharedItems>
    </cacheField>
    <cacheField name="[Client_Dim].[Client].[Client]" caption="Client" numFmtId="0" level="1">
      <sharedItems count="1">
        <s v="MICROSOFT CORPORATION"/>
      </sharedItems>
    </cacheField>
    <cacheField name="[Revenue_Fact].[Date].[Date]" caption="Date" numFmtId="0" hierarchy="9" level="1">
      <sharedItems containsSemiMixedTypes="0" containsNonDate="0" containsString="0"/>
    </cacheField>
  </cacheFields>
  <cacheHierarchies count="48">
    <cacheHierarchy uniqueName="[Client_Dim].[Client]" caption="Client" attribute="1" defaultMemberUniqueName="[Client_Dim].[Client].[All]" allUniqueName="[Client_Dim].[Client].[All]" dimensionUniqueName="[Client_Dim]" displayFolder="" count="2" memberValueDatatype="130" unbalanced="0">
      <fieldsUsage count="2">
        <fieldUsage x="-1"/>
        <fieldUsage x="2"/>
      </fieldsUsage>
    </cacheHierarchy>
    <cacheHierarchy uniqueName="[Client_Dim].[Client_id]" caption="Client_id" attribute="1" defaultMemberUniqueName="[Client_Dim].[Client_id].[All]" allUniqueName="[Client_Dim].[Client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20" unbalanced="0"/>
    <cacheHierarchy uniqueName="[Payment_Dim].[Payment]" caption="Payment" attribute="1" defaultMemberUniqueName="[Payment_Dim].[Payment].[All]" allUniqueName="[Payment_Dim].[Payment].[All]" dimensionUniqueName="[Payment_Dim]" displayFolder="" count="2" memberValueDatatype="130" unbalanced="0"/>
    <cacheHierarchy uniqueName="[Payment_Dim].[Payment_Id]" caption="Payment_Id" attribute="1" defaultMemberUniqueName="[Payment_Dim].[Payment_Id].[All]" allUniqueName="[Payment_Dim].[Payment_Id].[All]" dimensionUniqueName="[Payment_Dim]" displayFolder="" count="2" memberValueDatatype="2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3"/>
      </fieldsUsage>
    </cacheHierarchy>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20" unbalanced="0"/>
    <cacheHierarchy uniqueName="[Revenue_Fact].[State_id]" caption="State_id" attribute="1" defaultMemberUniqueName="[Revenue_Fact].[State_id].[All]" allUniqueName="[Revenue_Fact].[State_id].[All]" dimensionUniqueName="[Revenue_Fact]" displayFolder="" count="2" memberValueDatatype="20" unbalanced="0"/>
    <cacheHierarchy uniqueName="[Revenue_Fact].[Payment_id]" caption="Payment_id" attribute="1" defaultMemberUniqueName="[Revenue_Fact].[Payment_id].[All]" allUniqueName="[Revenue_Fact].[Payment_id].[All]" dimensionUniqueName="[Revenue_Fact]" displayFolder="" count="2" memberValueDatatype="2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2" memberValueDatatype="20" unbalanced="0"/>
    <cacheHierarchy uniqueName="[Table_ExternalData_1].[Revenue_Fact[Trans_id]]]" caption="Revenue_Fact[Trans_id]" attribute="1" defaultMemberUniqueName="[Table_ExternalData_1].[Revenue_Fact[Trans_id]]].[All]" allUniqueName="[Table_ExternalData_1].[Revenue_Fact[Trans_id]]].[All]" dimensionUniqueName="[Table_ExternalData_1]" displayFolder="" count="2" memberValueDatatype="130" unbalanced="0"/>
    <cacheHierarchy uniqueName="[Table_ExternalData_1].[Revenue_Fact[Date]]]" caption="Revenue_Fact[Date]" attribute="1" time="1" defaultMemberUniqueName="[Table_ExternalData_1].[Revenue_Fact[Date]]].[All]" allUniqueName="[Table_ExternalData_1].[Revenue_Fact[Date]]].[All]" dimensionUniqueName="[Table_ExternalData_1]" displayFolder="" count="2" memberValueDatatype="7" unbalanced="0"/>
    <cacheHierarchy uniqueName="[Table_ExternalData_1].[Revenue_Fact[Client_id]]]" caption="Revenue_Fact[Client_id]" attribute="1" defaultMemberUniqueName="[Table_ExternalData_1].[Revenue_Fact[Client_id]]].[All]" allUniqueName="[Table_ExternalData_1].[Revenue_Fact[Client_id]]].[All]" dimensionUniqueName="[Table_ExternalData_1]" displayFolder="" count="2" memberValueDatatype="130" unbalanced="0"/>
    <cacheHierarchy uniqueName="[Table_ExternalData_1].[Revenue_Fact[Department_id]]]" caption="Revenue_Fact[Department_id]" attribute="1" defaultMemberUniqueName="[Table_ExternalData_1].[Revenue_Fact[Department_id]]].[All]" allUniqueName="[Table_ExternalData_1].[Revenue_Fact[Department_id]]].[All]" dimensionUniqueName="[Table_ExternalData_1]" displayFolder="" count="2" memberValueDatatype="20" unbalanced="0"/>
    <cacheHierarchy uniqueName="[Table_ExternalData_1].[Revenue_Fact[State_id]]]" caption="Revenue_Fact[State_id]" attribute="1" defaultMemberUniqueName="[Table_ExternalData_1].[Revenue_Fact[State_id]]].[All]" allUniqueName="[Table_ExternalData_1].[Revenue_Fact[State_id]]].[All]" dimensionUniqueName="[Table_ExternalData_1]" displayFolder="" count="2" memberValueDatatype="20" unbalanced="0"/>
    <cacheHierarchy uniqueName="[Table_ExternalData_1].[Revenue_Fact[Payment_id]]]" caption="Revenue_Fact[Payment_id]" attribute="1" defaultMemberUniqueName="[Table_ExternalData_1].[Revenue_Fact[Payment_id]]].[All]" allUniqueName="[Table_ExternalData_1].[Revenue_Fact[Payment_id]]].[All]" dimensionUniqueName="[Table_ExternalData_1]" displayFolder="" count="2" memberValueDatatype="20" unbalanced="0"/>
    <cacheHierarchy uniqueName="[Table_ExternalData_1].[Revenue_Fact[Revenue]]]" caption="Revenue_Fact[Revenue]" attribute="1" defaultMemberUniqueName="[Table_ExternalData_1].[Revenue_Fact[Revenue]]].[All]" allUniqueName="[Table_ExternalData_1].[Revenue_Fact[Revenue]]].[All]" dimensionUniqueName="[Table_ExternalData_1]" displayFolder="" count="2" memberValueDatatype="5" unbalanced="0"/>
    <cacheHierarchy uniqueName="[Table_ExternalData_1].[Revenue_Fact[Profit]]]" caption="Revenue_Fact[Profit]" attribute="1" defaultMemberUniqueName="[Table_ExternalData_1].[Revenue_Fact[Profit]]].[All]" allUniqueName="[Table_ExternalData_1].[Revenue_Fact[Profit]]].[All]" dimensionUniqueName="[Table_ExternalData_1]" displayFolder="" count="2" memberValueDatatype="20" unbalanced="0"/>
    <cacheHierarchy uniqueName="[Table_ExternalData_1].[Revenue_Fact[Profit Margin]]]" caption="Revenue_Fact[Profit Margin]" attribute="1" defaultMemberUniqueName="[Table_ExternalData_1].[Revenue_Fact[Profit Margin]]].[All]" allUniqueName="[Table_ExternalData_1].[Revenue_Fact[Profit Margin]]].[All]" dimensionUniqueName="[Table_ExternalData_1]" displayFolder="" count="2" memberValueDatatype="5" unbalanced="0"/>
    <cacheHierarchy uniqueName="[Table_ExternalData_1].[Revenue_Fact[Date]] (Month)]" caption="Revenue_Fact[Date] (Month)" attribute="1" defaultMemberUniqueName="[Table_ExternalData_1].[Revenue_Fact[Date]] (Month)].[All]" allUniqueName="[Table_ExternalData_1].[Revenue_Fact[Date]] (Month)].[All]" dimensionUniqueName="[Table_ExternalData_1]" displayFolder="" count="2" memberValueDatatype="130" unbalanced="0"/>
    <cacheHierarchy uniqueName="[Table_ExternalData_1].[Revenue_Fact[Date]] (Month Index)]" caption="Revenue_Fact[Date] (Month Index)" attribute="1" defaultMemberUniqueName="[Table_ExternalData_1].[Revenue_Fact[Date]] (Month Index)].[All]" allUniqueName="[Table_ExternalData_1].[Revenue_Fact[Date]] (Month Index)].[All]" dimensionUniqueName="[Table_ExternalData_1]"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y uniqueName="[Measures].[Sum of Revenue_Fact[Department_id]]]" caption="Sum of Revenue_Fact[Department_id]"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Client]" caption="Count of Client" measure="1" displayFolder="" measureGroup="Client_Dim" count="0" hidden="1">
      <extLst>
        <ext xmlns:x15="http://schemas.microsoft.com/office/spreadsheetml/2010/11/main" uri="{B97F6D7D-B522-45F9-BDA1-12C45D357490}">
          <x15:cacheHierarchy aggregatedColumn="0"/>
        </ext>
      </extLst>
    </cacheHierarchy>
    <cacheHierarchy uniqueName="[Measures].[Sum of Revenue_Fact[Revenue]]]" caption="Sum of Revenue_Fact[Revenue]" measure="1" displayFolder="" measureGroup="Table_ExternalData_1" count="0" hidden="1">
      <extLst>
        <ext xmlns:x15="http://schemas.microsoft.com/office/spreadsheetml/2010/11/main" uri="{B97F6D7D-B522-45F9-BDA1-12C45D357490}">
          <x15:cacheHierarchy aggregatedColumn="25"/>
        </ext>
      </extLst>
    </cacheHierarchy>
  </cacheHierarchies>
  <kpis count="0"/>
  <dimensions count="7">
    <dimension name="Client_Dim" uniqueName="[Client_Dim]" caption="Client_Dim"/>
    <dimension name="Department_Dim" uniqueName="[Department_Dim]" caption="Department_Dim"/>
    <dimension measure="1" name="Measures" uniqueName="[Measures]" caption="Measures"/>
    <dimension name="Payment_Dim" uniqueName="[Payment_Dim]" caption="Payment_Dim"/>
    <dimension name="Revenue_Fact" uniqueName="[Revenue_Fact]" caption="Revenue_Fact"/>
    <dimension name="State_Dim" uniqueName="[State_Dim]" caption="State_Dim"/>
    <dimension name="Table_ExternalData_1" uniqueName="[Table_ExternalData_1]" caption="Table_ExternalData_1"/>
  </dimensions>
  <measureGroups count="6">
    <measureGroup name="Client_Dim" caption="Client_Dim"/>
    <measureGroup name="Department_Dim" caption="Department_Dim"/>
    <measureGroup name="Payment_Dim" caption="Payment_Dim"/>
    <measureGroup name="Revenue_Fact" caption="Revenue_Fact"/>
    <measureGroup name="State_Dim" caption="State_Dim"/>
    <measureGroup name="Table_ExternalData_1" caption="Table_ExternalData_1"/>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COMLAB" refreshedDate="46073.73660300926" backgroundQuery="1" createdVersion="3"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Client_Dim].[Client]" caption="Client" attribute="1" defaultMemberUniqueName="[Client_Dim].[Client].[All]" allUniqueName="[Client_Dim].[Client].[All]" dimensionUniqueName="[Client_Dim]" displayFolder="" count="2" memberValueDatatype="130" unbalanced="0"/>
    <cacheHierarchy uniqueName="[Client_Dim].[Client_id]" caption="Client_id" attribute="1" defaultMemberUniqueName="[Client_Dim].[Client_id].[All]" allUniqueName="[Client_Dim].[Client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20" unbalanced="0"/>
    <cacheHierarchy uniqueName="[Payment_Dim].[Payment]" caption="Payment" attribute="1" defaultMemberUniqueName="[Payment_Dim].[Payment].[All]" allUniqueName="[Payment_Dim].[Payment].[All]" dimensionUniqueName="[Payment_Dim]" displayFolder="" count="0" memberValueDatatype="130" unbalanced="0"/>
    <cacheHierarchy uniqueName="[Payment_Dim].[Payment_Id]" caption="Payment_Id" attribute="1" defaultMemberUniqueName="[Payment_Dim].[Payment_Id].[All]" allUniqueName="[Payment_Dim].[Payment_Id].[All]" dimensionUniqueName="[Payment_Dim]" displayFolder="" count="0" memberValueDatatype="2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20" unbalanced="0"/>
    <cacheHierarchy uniqueName="[Revenue_Fact].[State_id]" caption="State_id" attribute="1" defaultMemberUniqueName="[Revenue_Fact].[State_id].[All]" allUniqueName="[Revenue_Fact].[State_id].[All]" dimensionUniqueName="[Revenue_Fact]" displayFolder="" count="0" memberValueDatatype="20" unbalanced="0"/>
    <cacheHierarchy uniqueName="[Revenue_Fact].[Payment_id]" caption="Payment_id" attribute="1" defaultMemberUniqueName="[Revenue_Fact].[Payment_id].[All]" allUniqueName="[Revenue_Fact].[Payment_id].[All]" dimensionUniqueName="[Revenue_Fact]" displayFolder="" count="0" memberValueDatatype="2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State_Dim].[State]" caption="State" attribute="1" defaultMemberUniqueName="[State_Dim].[State].[All]" allUniqueName="[State_Dim].[State].[All]" dimensionUniqueName="[State_Dim]" displayFolder="" count="2" memberValueDatatype="130" unbalanced="0"/>
    <cacheHierarchy uniqueName="[State_Dim].[State_id]" caption="State_id" attribute="1" defaultMemberUniqueName="[State_Dim].[State_id].[All]" allUniqueName="[State_Dim].[State_id].[All]" dimensionUniqueName="[State_Dim]" displayFolder="" count="0" memberValueDatatype="20" unbalanced="0"/>
    <cacheHierarchy uniqueName="[Table_ExternalData_1].[Revenue_Fact[Trans_id]]]" caption="Revenue_Fact[Trans_id]" attribute="1" defaultMemberUniqueName="[Table_ExternalData_1].[Revenue_Fact[Trans_id]]].[All]" allUniqueName="[Table_ExternalData_1].[Revenue_Fact[Trans_id]]].[All]" dimensionUniqueName="[Table_ExternalData_1]" displayFolder="" count="0" memberValueDatatype="130" unbalanced="0"/>
    <cacheHierarchy uniqueName="[Table_ExternalData_1].[Revenue_Fact[Date]]]" caption="Revenue_Fact[Date]" attribute="1" time="1" defaultMemberUniqueName="[Table_ExternalData_1].[Revenue_Fact[Date]]].[All]" allUniqueName="[Table_ExternalData_1].[Revenue_Fact[Date]]].[All]" dimensionUniqueName="[Table_ExternalData_1]" displayFolder="" count="0" memberValueDatatype="7" unbalanced="0"/>
    <cacheHierarchy uniqueName="[Table_ExternalData_1].[Revenue_Fact[Client_id]]]" caption="Revenue_Fact[Client_id]" attribute="1" defaultMemberUniqueName="[Table_ExternalData_1].[Revenue_Fact[Client_id]]].[All]" allUniqueName="[Table_ExternalData_1].[Revenue_Fact[Client_id]]].[All]" dimensionUniqueName="[Table_ExternalData_1]" displayFolder="" count="0" memberValueDatatype="130" unbalanced="0"/>
    <cacheHierarchy uniqueName="[Table_ExternalData_1].[Revenue_Fact[Department_id]]]" caption="Revenue_Fact[Department_id]" attribute="1" defaultMemberUniqueName="[Table_ExternalData_1].[Revenue_Fact[Department_id]]].[All]" allUniqueName="[Table_ExternalData_1].[Revenue_Fact[Department_id]]].[All]" dimensionUniqueName="[Table_ExternalData_1]" displayFolder="" count="0" memberValueDatatype="20" unbalanced="0"/>
    <cacheHierarchy uniqueName="[Table_ExternalData_1].[Revenue_Fact[State_id]]]" caption="Revenue_Fact[State_id]" attribute="1" defaultMemberUniqueName="[Table_ExternalData_1].[Revenue_Fact[State_id]]].[All]" allUniqueName="[Table_ExternalData_1].[Revenue_Fact[State_id]]].[All]" dimensionUniqueName="[Table_ExternalData_1]" displayFolder="" count="0" memberValueDatatype="20" unbalanced="0"/>
    <cacheHierarchy uniqueName="[Table_ExternalData_1].[Revenue_Fact[Payment_id]]]" caption="Revenue_Fact[Payment_id]" attribute="1" defaultMemberUniqueName="[Table_ExternalData_1].[Revenue_Fact[Payment_id]]].[All]" allUniqueName="[Table_ExternalData_1].[Revenue_Fact[Payment_id]]].[All]" dimensionUniqueName="[Table_ExternalData_1]" displayFolder="" count="0" memberValueDatatype="20" unbalanced="0"/>
    <cacheHierarchy uniqueName="[Table_ExternalData_1].[Revenue_Fact[Revenue]]]" caption="Revenue_Fact[Revenue]" attribute="1" defaultMemberUniqueName="[Table_ExternalData_1].[Revenue_Fact[Revenue]]].[All]" allUniqueName="[Table_ExternalData_1].[Revenue_Fact[Revenue]]].[All]" dimensionUniqueName="[Table_ExternalData_1]" displayFolder="" count="0" memberValueDatatype="5" unbalanced="0"/>
    <cacheHierarchy uniqueName="[Table_ExternalData_1].[Revenue_Fact[Profit]]]" caption="Revenue_Fact[Profit]" attribute="1" defaultMemberUniqueName="[Table_ExternalData_1].[Revenue_Fact[Profit]]].[All]" allUniqueName="[Table_ExternalData_1].[Revenue_Fact[Profit]]].[All]" dimensionUniqueName="[Table_ExternalData_1]" displayFolder="" count="0" memberValueDatatype="20" unbalanced="0"/>
    <cacheHierarchy uniqueName="[Table_ExternalData_1].[Revenue_Fact[Profit Margin]]]" caption="Revenue_Fact[Profit Margin]" attribute="1" defaultMemberUniqueName="[Table_ExternalData_1].[Revenue_Fact[Profit Margin]]].[All]" allUniqueName="[Table_ExternalData_1].[Revenue_Fact[Profit Margin]]].[All]" dimensionUniqueName="[Table_ExternalData_1]" displayFolder="" count="0" memberValueDatatype="5" unbalanced="0"/>
    <cacheHierarchy uniqueName="[Table_ExternalData_1].[Revenue_Fact[Date]] (Month)]" caption="Revenue_Fact[Date] (Month)" attribute="1" defaultMemberUniqueName="[Table_ExternalData_1].[Revenue_Fact[Date]] (Month)].[All]" allUniqueName="[Table_ExternalData_1].[Revenue_Fact[Date]] (Month)].[All]" dimensionUniqueName="[Table_ExternalData_1]" displayFolder="" count="0" memberValueDatatype="130" unbalanced="0"/>
    <cacheHierarchy uniqueName="[Table_ExternalData_1].[Revenue_Fact[Date]] (Month Index)]" caption="Revenue_Fact[Date] (Month Index)" attribute="1" defaultMemberUniqueName="[Table_ExternalData_1].[Revenue_Fact[Date]] (Month Index)].[All]" allUniqueName="[Table_ExternalData_1].[Revenue_Fact[Date]] (Month Index)].[All]" dimensionUniqueName="[Table_ExternalData_1]"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Payment_Dim]" caption="__XL_Count Payment_Dim" measure="1" displayFolder="" measureGroup="Payment_Dim" count="0" hidden="1"/>
    <cacheHierarchy uniqueName="[Measures].[__XL_Count State_Dim]" caption="__XL_Count State_Dim" measure="1" displayFolder="" measureGroup="State_Dim" count="0" hidden="1"/>
    <cacheHierarchy uniqueName="[Measures].[__XL_Count Department_Dim]" caption="__XL_Count Department_Dim" measure="1" displayFolder="" measureGroup="Department_Dim"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Revenue]" caption="Average of Revenue" measure="1" displayFolder="" measureGroup="Revenue_Fact" count="0" hidden="1">
      <extLst>
        <ext xmlns:x15="http://schemas.microsoft.com/office/spreadsheetml/2010/11/main" uri="{B97F6D7D-B522-45F9-BDA1-12C45D357490}">
          <x15:cacheHierarchy aggregatedColumn="14"/>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Count of Profit Margin]" caption="Count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Sum of State_id]" caption="Sum of State_id" measure="1" displayFolder="" measureGroup="Revenue_Fact" count="0" hidden="1">
      <extLst>
        <ext xmlns:x15="http://schemas.microsoft.com/office/spreadsheetml/2010/11/main" uri="{B97F6D7D-B522-45F9-BDA1-12C45D357490}">
          <x15:cacheHierarchy aggregatedColumn="12"/>
        </ext>
      </extLst>
    </cacheHierarchy>
    <cacheHierarchy uniqueName="[Measures].[Sum of Revenue_Fact[Department_id]]]" caption="Sum of Revenue_Fact[Department_id]" measure="1" displayFolder="" measureGroup="Table_ExternalData_1" count="0" hidden="1">
      <extLst>
        <ext xmlns:x15="http://schemas.microsoft.com/office/spreadsheetml/2010/11/main" uri="{B97F6D7D-B522-45F9-BDA1-12C45D357490}">
          <x15:cacheHierarchy aggregatedColumn="22"/>
        </ext>
      </extLst>
    </cacheHierarchy>
    <cacheHierarchy uniqueName="[Measures].[Count of Client]" caption="Count of Client" measure="1" displayFolder="" measureGroup="Client_Dim" count="0" hidden="1">
      <extLst>
        <ext xmlns:x15="http://schemas.microsoft.com/office/spreadsheetml/2010/11/main" uri="{B97F6D7D-B522-45F9-BDA1-12C45D357490}">
          <x15:cacheHierarchy aggregatedColumn="0"/>
        </ext>
      </extLst>
    </cacheHierarchy>
    <cacheHierarchy uniqueName="[Measures].[Sum of Revenue_Fact[Revenue]]]" caption="Sum of Revenue_Fact[Revenue]" measure="1" displayFolder="" measureGroup="Table_ExternalData_1"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 S_tot_rev" cacheId="7466"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4" rowHeaderCaption="State">
  <location ref="A6:B7" firstHeaderRow="1" firstDataRow="1" firstDataCol="1"/>
  <pivotFields count="3">
    <pivotField dataField="1" showAll="0"/>
    <pivotField axis="axisRow" allDrilled="1" showAll="0" sortType="descending" defaultAttributeDrillState="1">
      <items count="2">
        <item s="1" x="0"/>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
    <i>
      <x/>
    </i>
  </rowItems>
  <colItems count="1">
    <i/>
  </colItems>
  <dataFields count="1">
    <dataField name="Total Revenue" fld="0" baseField="0" baseItem="0"/>
  </dataFields>
  <formats count="2">
    <format dxfId="1374">
      <pivotArea outline="0" collapsedLevelsAreSubtotals="1" fieldPosition="0"/>
    </format>
    <format dxfId="1375">
      <pivotArea outline="0" collapsedLevelsAreSubtotals="1" fieldPosition="0"/>
    </format>
  </formats>
  <conditionalFormats count="1">
    <conditionalFormat priority="6">
      <pivotAreas count="1">
        <pivotArea type="data" outline="0" collapsedLevelsAreSubtotals="1" fieldPosition="0">
          <references count="1">
            <reference field="4294967294" count="1" selected="0">
              <x v="0"/>
            </reference>
          </references>
        </pivotArea>
      </pivotAreas>
    </conditionalFormat>
  </conditionalFormats>
  <chartFormats count="4">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Date].&amp;[2023-06-02T00:00:00]"/>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pivotTableUISettings>
    </ext>
  </extLst>
</pivotTableDefinition>
</file>

<file path=xl/pivotTables/pivotTable2.xml><?xml version="1.0" encoding="utf-8"?>
<pivotTableDefinition xmlns="http://schemas.openxmlformats.org/spreadsheetml/2006/main" name="P1_tot_rev" cacheId="745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2:A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Sum of Revenue" fld="0" baseField="0" baseItem="0" numFmtId="167"/>
  </dataFields>
  <formats count="2">
    <format dxfId="1370">
      <pivotArea outline="0" collapsedLevelsAreSubtotals="1" fieldPosition="0"/>
    </format>
    <format dxfId="1371">
      <pivotArea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Date].&amp;[2023-06-02T00:00:00]"/>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3.xml><?xml version="1.0" encoding="utf-8"?>
<pivotTableDefinition xmlns="http://schemas.openxmlformats.org/spreadsheetml/2006/main" name="Pi_ave_pro_marg" cacheId="746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G2:G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rofit Margin" fld="0" subtotal="average" baseField="0" baseItem="1991631216" numFmtId="9"/>
  </dataFields>
  <formats count="3">
    <format dxfId="1364">
      <pivotArea outline="0" collapsedLevelsAreSubtotals="1" fieldPosition="0"/>
    </format>
    <format dxfId="1365">
      <pivotArea outline="0" collapsedLevelsAreSubtotals="1" fieldPosition="0"/>
    </format>
    <format dxfId="1366">
      <pivotArea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Date].&amp;[2023-06-02T00:00:00]"/>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pivotHierarchy dragToData="1" caption="Count of Profit Margin"/>
    <pivotHierarchy dragToData="1" caption="Average of Profit Margi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4.xml><?xml version="1.0" encoding="utf-8"?>
<pivotTableDefinition xmlns="http://schemas.openxmlformats.org/spreadsheetml/2006/main" name="Date_highest_rev" cacheId="7469"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6" rowHeaderCaption="Date">
  <location ref="H13:I15" firstHeaderRow="1" firstDataRow="1" firstDataCol="1"/>
  <pivotFields count="4">
    <pivotField axis="axisRow" allDrilled="1" showAll="0" dataSourceSort="1">
      <items count="3">
        <item x="0" e="0"/>
        <item x="1" e="0"/>
        <item t="default"/>
      </items>
    </pivotField>
    <pivotField dataField="1" showAll="0"/>
    <pivotField allDrilled="1" showAll="0" dataSourceSort="1" defaultAttributeDrillState="1"/>
    <pivotField allDrilled="1" showAll="0" dataSourceSort="1" defaultAttributeDrillState="1"/>
  </pivotFields>
  <rowFields count="1">
    <field x="0"/>
  </rowFields>
  <rowItems count="2">
    <i>
      <x/>
    </i>
    <i>
      <x v="1"/>
    </i>
  </rowItems>
  <colItems count="1">
    <i/>
  </colItems>
  <dataFields count="1">
    <dataField name="Total Revenue" fld="1" baseField="0" baseItem="0"/>
  </dataFields>
  <formats count="2">
    <format dxfId="1372">
      <pivotArea outline="0" collapsedLevelsAreSubtotals="1" fieldPosition="0"/>
    </format>
    <format dxfId="1373">
      <pivotArea outline="0" collapsedLevelsAreSubtotals="1" fieldPosition="0"/>
    </format>
  </formats>
  <chartFormats count="4">
    <chartFormat chart="0"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Date].&amp;[2023-06-02T00:00:00]"/>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Table_ExternalData_1]"/>
      </x15:pivotTableUISettings>
    </ext>
  </extLst>
</pivotTableDefinition>
</file>

<file path=xl/pivotTables/pivotTable5.xml><?xml version="1.0" encoding="utf-8"?>
<pivotTableDefinition xmlns="http://schemas.openxmlformats.org/spreadsheetml/2006/main" name="Top5_Client" cacheId="7475"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9" rowHeaderCaption="Client">
  <location ref="E14:F15" firstHeaderRow="1" firstDataRow="1" firstDataCol="1"/>
  <pivotFields count="4">
    <pivotField dataField="1" showAll="0"/>
    <pivotField allDrilled="1" showAll="0" sortType="descending" defaultAttributeDrillState="1">
      <items count="5">
        <item s="1" x="0"/>
        <item x="1"/>
        <item x="2"/>
        <item x="3"/>
        <item t="default"/>
      </items>
      <autoSortScope>
        <pivotArea dataOnly="0" outline="0" fieldPosition="0">
          <references count="1">
            <reference field="4294967294" count="1" selected="0">
              <x v="0"/>
            </reference>
          </references>
        </pivotArea>
      </autoSortScope>
    </pivotField>
    <pivotField axis="axisRow" allDrilled="1" showAll="0" measureFilter="1" sortType="descending" defaultAttributeDrillState="1">
      <items count="2">
        <item x="0"/>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1">
    <i>
      <x/>
    </i>
  </rowItems>
  <colItems count="1">
    <i/>
  </colItems>
  <dataFields count="1">
    <dataField name="Total Revenue" fld="0" baseField="0" baseItem="0"/>
  </dataFields>
  <formats count="2">
    <format dxfId="1358">
      <pivotArea outline="0" collapsedLevelsAreSubtotals="1" fieldPosition="0"/>
    </format>
    <format dxfId="1359">
      <pivotArea outline="0" collapsedLevelsAreSubtotals="1" fieldPosition="0"/>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2">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Date].&amp;[2023-06-02T00:00:00]"/>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activeTabTopLevelEntity name="[Client_Dim]"/>
      </x15:pivotTableUISettings>
    </ext>
  </extLst>
</pivotTableDefinition>
</file>

<file path=xl/pivotTables/pivotTable6.xml><?xml version="1.0" encoding="utf-8"?>
<pivotTableDefinition xmlns="http://schemas.openxmlformats.org/spreadsheetml/2006/main" name="Pi_ave_pro" cacheId="745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E2:E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rofit" fld="0" subtotal="average" baseField="0" baseItem="1991631216" numFmtId="167"/>
  </dataFields>
  <formats count="3">
    <format dxfId="1367">
      <pivotArea outline="0" collapsedLevelsAreSubtotals="1" fieldPosition="0"/>
    </format>
    <format dxfId="1368">
      <pivotArea outline="0" collapsedLevelsAreSubtotals="1" fieldPosition="0"/>
    </format>
    <format dxfId="1369">
      <pivotArea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Date].&amp;[2023-06-02T00:00:00]"/>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7.xml><?xml version="1.0" encoding="utf-8"?>
<pivotTableDefinition xmlns="http://schemas.openxmlformats.org/spreadsheetml/2006/main" name="S_Client_rev" cacheId="7472"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7" rowHeaderCaption="State">
  <location ref="A14:C15" firstHeaderRow="0" firstDataRow="1" firstDataCol="1"/>
  <pivotFields count="6">
    <pivotField dataField="1" showAll="0"/>
    <pivotField axis="axisRow" allDrilled="1" showAll="0" sortType="descending" defaultAttributeDrillState="1">
      <items count="5">
        <item s="1" x="0" e="0"/>
        <item x="1" e="0"/>
        <item x="2" e="0"/>
        <item x="3" e="0"/>
        <item t="default"/>
      </items>
      <autoSortScope>
        <pivotArea dataOnly="0" outline="0" fieldPosition="0">
          <references count="1">
            <reference field="4294967294" count="1" selected="0">
              <x v="0"/>
            </reference>
          </references>
        </pivotArea>
      </autoSortScope>
    </pivotField>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 allDrilled="1" showAll="0" dataSourceSort="1" defaultAttributeDrillState="1"/>
  </pivotFields>
  <rowFields count="2">
    <field x="1"/>
    <field x="3"/>
  </rowFields>
  <rowItems count="1">
    <i>
      <x/>
    </i>
  </rowItems>
  <colFields count="1">
    <field x="-2"/>
  </colFields>
  <colItems count="2">
    <i>
      <x/>
    </i>
    <i i="1">
      <x v="1"/>
    </i>
  </colItems>
  <dataFields count="2">
    <dataField name="Total Revenue" fld="0" baseField="0" baseItem="0" numFmtId="167"/>
    <dataField name="Total Profit" fld="2" baseField="0" baseItem="0"/>
  </dataFields>
  <formats count="2">
    <format dxfId="1360">
      <pivotArea outline="0" collapsedLevelsAreSubtotals="1" fieldPosition="0"/>
    </format>
    <format dxfId="1361">
      <pivotArea outline="0" collapsedLevelsAreSubtotals="1" fieldPosition="0"/>
    </format>
  </formats>
  <chartFormats count="12">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1" count="1" selected="0">
            <x v="2"/>
          </reference>
        </references>
      </pivotArea>
    </chartFormat>
    <chartFormat chart="6" format="24">
      <pivotArea type="data" outline="0" fieldPosition="0">
        <references count="2">
          <reference field="4294967294" count="1" selected="0">
            <x v="0"/>
          </reference>
          <reference field="1" count="1" selected="0">
            <x v="0"/>
          </reference>
        </references>
      </pivotArea>
    </chartFormat>
    <chartFormat chart="6" format="25">
      <pivotArea type="data" outline="0" fieldPosition="0">
        <references count="2">
          <reference field="4294967294" count="1" selected="0">
            <x v="0"/>
          </reference>
          <reference field="1" count="1" selected="0">
            <x v="1"/>
          </reference>
        </references>
      </pivotArea>
    </chartFormat>
    <chartFormat chart="6" format="26">
      <pivotArea type="data" outline="0" fieldPosition="0">
        <references count="2">
          <reference field="4294967294" count="1" selected="0">
            <x v="0"/>
          </reference>
          <reference field="1" count="1" selected="0">
            <x v="3"/>
          </reference>
        </references>
      </pivotArea>
    </chartFormat>
    <chartFormat chart="6" format="27" series="1">
      <pivotArea type="data" outline="0" fieldPosition="0">
        <references count="1">
          <reference field="4294967294" count="1" selected="0">
            <x v="1"/>
          </reference>
        </references>
      </pivotArea>
    </chartFormat>
    <chartFormat chart="6" format="28">
      <pivotArea type="data" outline="0" fieldPosition="0">
        <references count="2">
          <reference field="4294967294" count="1" selected="0">
            <x v="1"/>
          </reference>
          <reference field="1" count="1" selected="0">
            <x v="2"/>
          </reference>
        </references>
      </pivotArea>
    </chartFormat>
    <chartFormat chart="6" format="29">
      <pivotArea type="data" outline="0" fieldPosition="0">
        <references count="2">
          <reference field="4294967294" count="1" selected="0">
            <x v="1"/>
          </reference>
          <reference field="1" count="1" selected="0">
            <x v="0"/>
          </reference>
        </references>
      </pivotArea>
    </chartFormat>
    <chartFormat chart="6" format="30">
      <pivotArea type="data" outline="0" fieldPosition="0">
        <references count="2">
          <reference field="4294967294" count="1" selected="0">
            <x v="1"/>
          </reference>
          <reference field="1" count="1" selected="0">
            <x v="1"/>
          </reference>
        </references>
      </pivotArea>
    </chartFormat>
    <chartFormat chart="6" format="31">
      <pivotArea type="data" outline="0" fieldPosition="0">
        <references count="2">
          <reference field="4294967294" count="1" selected="0">
            <x v="1"/>
          </reference>
          <reference field="1" count="1" selected="0">
            <x v="3"/>
          </reference>
        </references>
      </pivotArea>
    </chartFormat>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Date].&amp;[2023-06-02T00:00:00]"/>
      </members>
    </pivotHierarchy>
    <pivotHierarchy dragToData="1"/>
    <pivotHierarchy dragToData="1"/>
    <pivotHierarchy dragToData="1"/>
    <pivotHierarchy dragToData="1"/>
    <pivotHierarchy multipleItemSelectionAllowed="1" dragToData="1">
      <members count="1" level="1">
        <member name="[Revenue_Fact].[Revenue].&amp;[4.5E3]"/>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activeTabTopLevelEntity name="[Table_ExternalData_1]"/>
        <x15:activeTabTopLevelEntity name="[Client_Dim]"/>
      </x15:pivotTableUISettings>
    </ext>
  </extLst>
</pivotTableDefinition>
</file>

<file path=xl/pivotTables/pivotTable8.xml><?xml version="1.0" encoding="utf-8"?>
<pivotTableDefinition xmlns="http://schemas.openxmlformats.org/spreadsheetml/2006/main" name="Pi_tot_profit" cacheId="746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C2:C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Sum of Profit" fld="0" baseField="0" baseItem="0" numFmtId="167"/>
  </dataFields>
  <formats count="2">
    <format dxfId="1362">
      <pivotArea outline="0" collapsedLevelsAreSubtotals="1" fieldPosition="0"/>
    </format>
    <format dxfId="1363">
      <pivotArea outline="0" collapsedLevelsAreSubtotals="1" fieldPosition="0"/>
    </format>
  </formats>
  <pivotHierarchies count="4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venue_Fact].[Date].&amp;[2023-06-02T00:00:00]"/>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10">
    <queryTableFields count="9">
      <queryTableField id="1" name="Revenue_Fact[Trans_id]" tableColumnId="1"/>
      <queryTableField id="2" name="Revenue_Fact[Date]" tableColumnId="2"/>
      <queryTableField id="3" name="Revenue_Fact[Client_id]" tableColumnId="3"/>
      <queryTableField id="4" name="Revenue_Fact[Department_id]" tableColumnId="4"/>
      <queryTableField id="5" name="Revenue_Fact[State_id]" tableColumnId="5"/>
      <queryTableField id="6" name="Revenue_Fact[Payment_id]" tableColumnId="6"/>
      <queryTableField id="7" name="Revenue_Fact[Revenue]" tableColumnId="7"/>
      <queryTableField id="8" name="Revenue_Fact[Profit]" tableColumnId="8"/>
      <queryTableField id="9" name="Revenue_Fact[Profit Margin]" tableColumnId="9"/>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nextId="10">
    <queryTableFields count="9">
      <queryTableField id="1" name="Revenue_Fact[Trans_id]" tableColumnId="1"/>
      <queryTableField id="2" name="Revenue_Fact[Date]" tableColumnId="2"/>
      <queryTableField id="3" name="Revenue_Fact[Client_id]" tableColumnId="3"/>
      <queryTableField id="4" name="Revenue_Fact[Department_id]" tableColumnId="4"/>
      <queryTableField id="5" name="Revenue_Fact[State_id]" tableColumnId="5"/>
      <queryTableField id="6" name="Revenue_Fact[Payment_id]" tableColumnId="6"/>
      <queryTableField id="7" name="Revenue_Fact[Revenue]" tableColumnId="7"/>
      <queryTableField id="8" name="Revenue_Fact[Profit]" tableColumnId="8"/>
      <queryTableField id="9" name="Revenue_Fact[Profit Margin]" tableColumnId="9"/>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nextId="10">
    <queryTableFields count="9">
      <queryTableField id="1" name="Revenue_Fact[Trans_id]" tableColumnId="1"/>
      <queryTableField id="2" name="Revenue_Fact[Date]" tableColumnId="2"/>
      <queryTableField id="3" name="Revenue_Fact[Client_id]" tableColumnId="3"/>
      <queryTableField id="4" name="Revenue_Fact[Department_id]" tableColumnId="4"/>
      <queryTableField id="5" name="Revenue_Fact[State_id]" tableColumnId="5"/>
      <queryTableField id="6" name="Revenue_Fact[Payment_id]" tableColumnId="6"/>
      <queryTableField id="7" name="Revenue_Fact[Revenue]" tableColumnId="7"/>
      <queryTableField id="8" name="Revenue_Fact[Profit]" tableColumnId="8"/>
      <queryTableField id="9" name="Revenue_Fact[Profit Margin]" tableColumnId="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_Dim].[State]">
  <pivotTables>
    <pivotTable tabId="10" name="P1_tot_rev"/>
    <pivotTable tabId="10" name="Pi_ave_pro"/>
    <pivotTable tabId="10" name="Pi_ave_pro_marg"/>
    <pivotTable tabId="10" name="Pi_tot_profit"/>
    <pivotTable tabId="10" name=" S_tot_rev"/>
    <pivotTable tabId="10" name="Date_highest_rev"/>
    <pivotTable tabId="10" name="S_Client_rev"/>
    <pivotTable tabId="10" name="Top5_Client"/>
  </pivotTables>
  <data>
    <olap pivotCacheId="2">
      <levels count="2">
        <level uniqueName="[State_Dim].[State].[(All)]" sourceCaption="(All)" count="0"/>
        <level uniqueName="[State_Dim].[State].[State]" sourceCaption="State" count="4">
          <ranges>
            <range startItem="0">
              <i n="[State_Dim].[State].&amp;[California]" c="California"/>
              <i n="[State_Dim].[State].&amp;[New York]" c="New York"/>
              <i n="[State_Dim].[State].&amp;[Florida]" c="Florida"/>
              <i n="[State_Dim].[State].&amp;[Texas]" c="Texas"/>
            </range>
          </ranges>
        </level>
      </levels>
      <selections count="1">
        <selection n="[State_Dim].[State].&amp;[Californi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 sourceName="[Revenue_Fact].[Date]">
  <pivotTables>
    <pivotTable tabId="10" name="Date_highest_rev"/>
    <pivotTable tabId="10" name=" S_tot_rev"/>
    <pivotTable tabId="10" name="P1_tot_rev"/>
    <pivotTable tabId="10" name="Pi_ave_pro"/>
    <pivotTable tabId="10" name="Pi_ave_pro_marg"/>
    <pivotTable tabId="10" name="Pi_tot_profit"/>
    <pivotTable tabId="10" name="S_Client_rev"/>
    <pivotTable tabId="10" name="Top5_Client"/>
  </pivotTables>
  <data>
    <olap pivotCacheId="2">
      <levels count="2">
        <level uniqueName="[Revenue_Fact].[Date].[(All)]" sourceCaption="(All)" count="0"/>
        <level uniqueName="[Revenue_Fact].[Date].[Date]" sourceCaption="Date" count="5">
          <ranges>
            <range startItem="0">
              <i n="[Revenue_Fact].[Date].&amp;[2023-05-30T00:00:00]" c="30/05/2023"/>
              <i n="[Revenue_Fact].[Date].&amp;[2023-05-31T00:00:00]" c="31/05/2023"/>
              <i n="[Revenue_Fact].[Date].&amp;[2023-06-01T00:00:00]" c="01/06/2023"/>
              <i n="[Revenue_Fact].[Date].&amp;[2023-06-02T00:00:00]" c="02/06/2023"/>
              <i n="[Revenue_Fact].[Date].&amp;[2023-06-03T00:00:00]" c="03/06/2023"/>
            </range>
          </ranges>
        </level>
      </levels>
      <selections count="1">
        <selection n="[Revenue_Fact].[Date].&amp;[2023-06-02T00:00:0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level="1" rowHeight="257175"/>
  <slicer name="Date" cache="Slicer_Date" caption="Date" level="1" rowHeight="257175"/>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1" name="Payment_Dim" displayName="Payment_Dim" ref="A1:B6" totalsRowShown="0" headerRowDxfId="1390">
  <autoFilter ref="A1:B6"/>
  <tableColumns count="2">
    <tableColumn id="1" name="Payment"/>
    <tableColumn id="2" name="Payment_Id"/>
  </tableColumns>
  <tableStyleInfo name="TableStyleMedium2" showFirstColumn="0" showLastColumn="0" showRowStripes="1" showColumnStripes="0"/>
</table>
</file>

<file path=xl/tables/table2.xml><?xml version="1.0" encoding="utf-8"?>
<table xmlns="http://schemas.openxmlformats.org/spreadsheetml/2006/main" id="2" name="State_Dim" displayName="State_Dim" ref="A1:B5" totalsRowShown="0" headerRowDxfId="1389">
  <autoFilter ref="A1:B5"/>
  <tableColumns count="2">
    <tableColumn id="1" name="State"/>
    <tableColumn id="2" name="State_id"/>
  </tableColumns>
  <tableStyleInfo name="TableStyleMedium2" showFirstColumn="0" showLastColumn="0" showRowStripes="1" showColumnStripes="0"/>
</table>
</file>

<file path=xl/tables/table3.xml><?xml version="1.0" encoding="utf-8"?>
<table xmlns="http://schemas.openxmlformats.org/spreadsheetml/2006/main" id="3" name="Department_Dim" displayName="Department_Dim" ref="A1:B5" totalsRowShown="0" headerRowDxfId="1388">
  <autoFilter ref="A1:B5"/>
  <tableColumns count="2">
    <tableColumn id="1" name="Department"/>
    <tableColumn id="2" name="Department_id"/>
  </tableColumns>
  <tableStyleInfo name="TableStyleMedium2" showFirstColumn="0" showLastColumn="0" showRowStripes="1" showColumnStripes="0"/>
</table>
</file>

<file path=xl/tables/table4.xml><?xml version="1.0" encoding="utf-8"?>
<table xmlns="http://schemas.openxmlformats.org/spreadsheetml/2006/main" id="4" name="Client_Dim" displayName="Client_Dim" ref="A1:D29" totalsRowShown="0" headerRowDxfId="1387">
  <autoFilter ref="A1:D29"/>
  <tableColumns count="4">
    <tableColumn id="1" name="Client"/>
    <tableColumn id="2" name="Client_id" dataDxfId="1386"/>
    <tableColumn id="3" name="First Name"/>
    <tableColumn id="4" name="Last Name"/>
  </tableColumns>
  <tableStyleInfo name="TableStyleMedium2" showFirstColumn="0" showLastColumn="0" showRowStripes="1" showColumnStripes="0"/>
</table>
</file>

<file path=xl/tables/table5.xml><?xml version="1.0" encoding="utf-8"?>
<table xmlns="http://schemas.openxmlformats.org/spreadsheetml/2006/main" id="6" name="Table_ExternalData_1" displayName="Table_ExternalData_1" ref="A3:I32" tableType="queryTable" totalsRowShown="0">
  <autoFilter ref="A3:I32"/>
  <tableColumns count="9">
    <tableColumn id="1" uniqueName="1" name="Revenue_Fact[Trans_id]" queryTableFieldId="1"/>
    <tableColumn id="2" uniqueName="2" name="Revenue_Fact[Date]" queryTableFieldId="2" dataDxfId="1385"/>
    <tableColumn id="3" uniqueName="3" name="Revenue_Fact[Client_id]" queryTableFieldId="3"/>
    <tableColumn id="4" uniqueName="4" name="Revenue_Fact[Department_id]" queryTableFieldId="4"/>
    <tableColumn id="5" uniqueName="5" name="Revenue_Fact[State_id]" queryTableFieldId="5"/>
    <tableColumn id="6" uniqueName="6" name="Revenue_Fact[Payment_id]" queryTableFieldId="6"/>
    <tableColumn id="7" uniqueName="7" name="Revenue_Fact[Revenue]" queryTableFieldId="7"/>
    <tableColumn id="8" uniqueName="8" name="Revenue_Fact[Profit]" queryTableFieldId="8"/>
    <tableColumn id="9" uniqueName="9" name="Revenue_Fact[Profit Margin]" queryTableFieldId="9"/>
  </tableColumns>
  <tableStyleInfo name="TableStyleMedium2" showFirstColumn="0" showLastColumn="0" showRowStripes="1" showColumnStripes="0"/>
</table>
</file>

<file path=xl/tables/table6.xml><?xml version="1.0" encoding="utf-8"?>
<table xmlns="http://schemas.openxmlformats.org/spreadsheetml/2006/main" id="7" name="Table_ExternalData_18" displayName="Table_ExternalData_18" ref="A3:I32" tableType="queryTable" totalsRowShown="0">
  <autoFilter ref="A3:I32"/>
  <tableColumns count="9">
    <tableColumn id="1" uniqueName="1" name="Revenue_Fact[Trans_id]" queryTableFieldId="1"/>
    <tableColumn id="2" uniqueName="2" name="Revenue_Fact[Date]" queryTableFieldId="2" dataDxfId="1384"/>
    <tableColumn id="3" uniqueName="3" name="Revenue_Fact[Client_id]" queryTableFieldId="3"/>
    <tableColumn id="4" uniqueName="4" name="Revenue_Fact[Department_id]" queryTableFieldId="4"/>
    <tableColumn id="5" uniqueName="5" name="Revenue_Fact[State_id]" queryTableFieldId="5"/>
    <tableColumn id="6" uniqueName="6" name="Revenue_Fact[Payment_id]" queryTableFieldId="6"/>
    <tableColumn id="7" uniqueName="7" name="Revenue_Fact[Revenue]" queryTableFieldId="7"/>
    <tableColumn id="8" uniqueName="8" name="Revenue_Fact[Profit]" queryTableFieldId="8"/>
    <tableColumn id="9" uniqueName="9" name="Revenue_Fact[Profit Margin]" queryTableFieldId="9"/>
  </tableColumns>
  <tableStyleInfo name="TableStyleMedium2" showFirstColumn="0" showLastColumn="0" showRowStripes="1" showColumnStripes="0"/>
</table>
</file>

<file path=xl/tables/table7.xml><?xml version="1.0" encoding="utf-8"?>
<table xmlns="http://schemas.openxmlformats.org/spreadsheetml/2006/main" id="8" name="Table_ExternalData_19" displayName="Table_ExternalData_19" ref="A3:I12" tableType="queryTable" totalsRowShown="0">
  <autoFilter ref="A3:I12"/>
  <tableColumns count="9">
    <tableColumn id="1" uniqueName="1" name="Revenue_Fact[Trans_id]" queryTableFieldId="1"/>
    <tableColumn id="2" uniqueName="2" name="Revenue_Fact[Date]" queryTableFieldId="2" dataDxfId="1376"/>
    <tableColumn id="3" uniqueName="3" name="Revenue_Fact[Client_id]" queryTableFieldId="3"/>
    <tableColumn id="4" uniqueName="4" name="Revenue_Fact[Department_id]" queryTableFieldId="4"/>
    <tableColumn id="5" uniqueName="5" name="Revenue_Fact[State_id]" queryTableFieldId="5"/>
    <tableColumn id="6" uniqueName="6" name="Revenue_Fact[Payment_id]" queryTableFieldId="6"/>
    <tableColumn id="7" uniqueName="7" name="Revenue_Fact[Revenue]" queryTableFieldId="7"/>
    <tableColumn id="8" uniqueName="8" name="Revenue_Fact[Profit]" queryTableFieldId="8"/>
    <tableColumn id="9" uniqueName="9" name="Revenue_Fact[Profit Margin]" queryTableFieldId="9"/>
  </tableColumns>
  <tableStyleInfo name="TableStyleMedium2" showFirstColumn="0" showLastColumn="0" showRowStripes="1" showColumnStripes="0"/>
</table>
</file>

<file path=xl/tables/table8.xml><?xml version="1.0" encoding="utf-8"?>
<table xmlns="http://schemas.openxmlformats.org/spreadsheetml/2006/main" id="5" name="Revenue_Fact" displayName="Revenue_Fact" ref="A1:I30" totalsRowShown="0" headerRowDxfId="1383">
  <autoFilter ref="A1:I30"/>
  <tableColumns count="9">
    <tableColumn id="1" name="Trans_id"/>
    <tableColumn id="2" name="Date" dataDxfId="1382"/>
    <tableColumn id="3" name="Client_id" dataDxfId="1381"/>
    <tableColumn id="4" name="Department_id"/>
    <tableColumn id="5" name="State_id"/>
    <tableColumn id="6" name="Payment_id"/>
    <tableColumn id="7" name="Revenue" dataDxfId="1380" dataCellStyle="Percent"/>
    <tableColumn id="8" name="Profit" dataDxfId="1379"/>
    <tableColumn id="10" name="Profit Margin" dataDxfId="1378"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zoomScale="115" zoomScaleNormal="115" workbookViewId="0">
      <selection sqref="A1:B1"/>
    </sheetView>
  </sheetViews>
  <sheetFormatPr defaultColWidth="11" defaultRowHeight="15.75" x14ac:dyDescent="0.25"/>
  <cols>
    <col min="1" max="1" width="12.25" bestFit="1" customWidth="1"/>
    <col min="2" max="2" width="16.2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2" ht="23.25" x14ac:dyDescent="0.35">
      <c r="A1" s="4" t="s">
        <v>2</v>
      </c>
      <c r="B1" s="4" t="s">
        <v>199</v>
      </c>
    </row>
    <row r="2" spans="1:2" x14ac:dyDescent="0.25">
      <c r="A2" s="6">
        <v>4500</v>
      </c>
      <c r="B2">
        <v>101</v>
      </c>
    </row>
    <row r="3" spans="1:2" x14ac:dyDescent="0.25">
      <c r="A3" s="6">
        <v>3800</v>
      </c>
      <c r="B3">
        <v>102</v>
      </c>
    </row>
    <row r="4" spans="1:2" x14ac:dyDescent="0.25">
      <c r="A4" s="6">
        <v>3712.5</v>
      </c>
      <c r="B4">
        <v>103</v>
      </c>
    </row>
    <row r="5" spans="1:2" x14ac:dyDescent="0.25">
      <c r="A5" s="8">
        <v>747.07491082045203</v>
      </c>
      <c r="B5">
        <v>104</v>
      </c>
    </row>
    <row r="6" spans="1:2" x14ac:dyDescent="0.25">
      <c r="A6" s="6">
        <v>5000</v>
      </c>
      <c r="B6">
        <v>105</v>
      </c>
    </row>
    <row r="7" spans="1:2" x14ac:dyDescent="0.25">
      <c r="A7" s="6">
        <v>6100</v>
      </c>
      <c r="B7">
        <v>106</v>
      </c>
    </row>
    <row r="8" spans="1:2" x14ac:dyDescent="0.25">
      <c r="A8" s="6">
        <v>4625</v>
      </c>
      <c r="B8">
        <v>107</v>
      </c>
    </row>
    <row r="9" spans="1:2" x14ac:dyDescent="0.25">
      <c r="A9" s="6">
        <v>3800</v>
      </c>
      <c r="B9">
        <v>108</v>
      </c>
    </row>
    <row r="10" spans="1:2" x14ac:dyDescent="0.25">
      <c r="A10" s="6">
        <v>3600</v>
      </c>
      <c r="B10">
        <v>109</v>
      </c>
    </row>
    <row r="11" spans="1:2" x14ac:dyDescent="0.25">
      <c r="A11" s="6">
        <v>5100</v>
      </c>
      <c r="B11">
        <v>110</v>
      </c>
    </row>
    <row r="12" spans="1:2" x14ac:dyDescent="0.25">
      <c r="A12" s="6">
        <v>4750</v>
      </c>
      <c r="B12">
        <v>111</v>
      </c>
    </row>
    <row r="13" spans="1:2" x14ac:dyDescent="0.25">
      <c r="A13" s="6">
        <v>6000</v>
      </c>
      <c r="B13">
        <v>112</v>
      </c>
    </row>
    <row r="14" spans="1:2" x14ac:dyDescent="0.25">
      <c r="A14" s="6">
        <v>4500</v>
      </c>
      <c r="B14">
        <v>113</v>
      </c>
    </row>
    <row r="15" spans="1:2" x14ac:dyDescent="0.25">
      <c r="A15" s="8">
        <v>851.35766944114152</v>
      </c>
      <c r="B15">
        <v>114</v>
      </c>
    </row>
    <row r="16" spans="1:2" x14ac:dyDescent="0.25">
      <c r="A16" s="6">
        <v>3712.5</v>
      </c>
      <c r="B16">
        <v>115</v>
      </c>
    </row>
    <row r="17" spans="1:3" x14ac:dyDescent="0.25">
      <c r="A17" s="6">
        <v>4950</v>
      </c>
      <c r="B17">
        <v>116</v>
      </c>
    </row>
    <row r="18" spans="1:3" x14ac:dyDescent="0.25">
      <c r="A18" s="6">
        <v>4750</v>
      </c>
      <c r="B18">
        <v>117</v>
      </c>
    </row>
    <row r="19" spans="1:3" x14ac:dyDescent="0.25">
      <c r="A19" s="6">
        <v>7320</v>
      </c>
      <c r="B19">
        <v>118</v>
      </c>
    </row>
    <row r="20" spans="1:3" x14ac:dyDescent="0.25">
      <c r="A20" s="6">
        <v>5087.5</v>
      </c>
      <c r="B20">
        <v>119</v>
      </c>
    </row>
    <row r="21" spans="1:3" x14ac:dyDescent="0.25">
      <c r="A21" s="6">
        <v>4500</v>
      </c>
      <c r="B21">
        <v>120</v>
      </c>
    </row>
    <row r="22" spans="1:3" x14ac:dyDescent="0.25">
      <c r="A22" s="6">
        <v>4250</v>
      </c>
      <c r="B22">
        <v>121</v>
      </c>
    </row>
    <row r="23" spans="1:3" x14ac:dyDescent="0.25">
      <c r="A23" s="6">
        <v>5250</v>
      </c>
      <c r="B23">
        <v>122</v>
      </c>
    </row>
    <row r="24" spans="1:3" x14ac:dyDescent="0.25">
      <c r="A24" s="6">
        <v>6500</v>
      </c>
      <c r="B24">
        <v>123</v>
      </c>
    </row>
    <row r="25" spans="1:3" x14ac:dyDescent="0.25">
      <c r="A25" s="6">
        <v>7500</v>
      </c>
      <c r="B25">
        <v>124</v>
      </c>
    </row>
    <row r="26" spans="1:3" x14ac:dyDescent="0.25">
      <c r="A26" s="6">
        <v>5500</v>
      </c>
      <c r="B26">
        <v>125</v>
      </c>
    </row>
    <row r="27" spans="1:3" x14ac:dyDescent="0.25">
      <c r="A27" s="6">
        <v>4625</v>
      </c>
      <c r="B27">
        <v>126</v>
      </c>
    </row>
    <row r="28" spans="1:3" x14ac:dyDescent="0.25">
      <c r="B28" s="6">
        <v>4500</v>
      </c>
    </row>
    <row r="29" spans="1:3" x14ac:dyDescent="0.25">
      <c r="B29" s="6">
        <v>5400</v>
      </c>
      <c r="C29">
        <v>127</v>
      </c>
    </row>
    <row r="30" spans="1:3" x14ac:dyDescent="0.25">
      <c r="C30">
        <v>128</v>
      </c>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zoomScaleNormal="100" workbookViewId="0">
      <selection sqref="A1:B1"/>
    </sheetView>
  </sheetViews>
  <sheetFormatPr defaultColWidth="11" defaultRowHeight="15.75" x14ac:dyDescent="0.25"/>
  <cols>
    <col min="1" max="1" width="16.25" bestFit="1" customWidth="1"/>
    <col min="2" max="2" width="20.2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2" ht="23.25" x14ac:dyDescent="0.35">
      <c r="A1" s="10" t="s">
        <v>47</v>
      </c>
      <c r="B1" s="10" t="s">
        <v>198</v>
      </c>
    </row>
    <row r="2" spans="1:2" x14ac:dyDescent="0.25">
      <c r="A2" t="s">
        <v>48</v>
      </c>
      <c r="B2">
        <v>101</v>
      </c>
    </row>
    <row r="3" spans="1:2" x14ac:dyDescent="0.25">
      <c r="A3" t="s">
        <v>50</v>
      </c>
      <c r="B3">
        <v>102</v>
      </c>
    </row>
    <row r="4" spans="1:2" x14ac:dyDescent="0.25">
      <c r="A4" t="s">
        <v>167</v>
      </c>
      <c r="B4">
        <v>103</v>
      </c>
    </row>
    <row r="5" spans="1:2" x14ac:dyDescent="0.25">
      <c r="A5" t="s">
        <v>49</v>
      </c>
      <c r="B5">
        <v>104</v>
      </c>
    </row>
    <row r="6" spans="1:2" x14ac:dyDescent="0.25">
      <c r="A6" t="s">
        <v>51</v>
      </c>
      <c r="B6">
        <v>105</v>
      </c>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sortState ref="A3:B7">
    <sortCondition ref="A3"/>
  </sortState>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zoomScaleNormal="100" workbookViewId="0">
      <selection activeCell="C8" sqref="C8"/>
    </sheetView>
  </sheetViews>
  <sheetFormatPr defaultColWidth="11" defaultRowHeight="15.75" x14ac:dyDescent="0.25"/>
  <cols>
    <col min="1" max="1" width="11.5" bestFit="1" customWidth="1"/>
    <col min="2" max="2" width="15.37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2" ht="23.25" x14ac:dyDescent="0.35">
      <c r="A1" s="10" t="s">
        <v>158</v>
      </c>
      <c r="B1" s="10" t="s">
        <v>197</v>
      </c>
    </row>
    <row r="2" spans="1:2" x14ac:dyDescent="0.25">
      <c r="A2" t="s">
        <v>166</v>
      </c>
      <c r="B2">
        <v>101</v>
      </c>
    </row>
    <row r="3" spans="1:2" x14ac:dyDescent="0.25">
      <c r="A3" t="s">
        <v>161</v>
      </c>
      <c r="B3">
        <v>102</v>
      </c>
    </row>
    <row r="4" spans="1:2" x14ac:dyDescent="0.25">
      <c r="A4" t="s">
        <v>164</v>
      </c>
      <c r="B4">
        <v>103</v>
      </c>
    </row>
    <row r="5" spans="1:2" x14ac:dyDescent="0.25">
      <c r="A5" t="s">
        <v>163</v>
      </c>
      <c r="B5">
        <v>104</v>
      </c>
    </row>
    <row r="31" spans="6:7" x14ac:dyDescent="0.25">
      <c r="F31" s="1"/>
      <c r="G31"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sortState ref="A3:B6">
    <sortCondition ref="A3"/>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zoomScaleNormal="100" workbookViewId="0">
      <selection sqref="A1:B1"/>
    </sheetView>
  </sheetViews>
  <sheetFormatPr defaultColWidth="11" defaultRowHeight="15.75" x14ac:dyDescent="0.25"/>
  <cols>
    <col min="1" max="1" width="20.5" bestFit="1" customWidth="1"/>
    <col min="2" max="2" width="24.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2" ht="23.25" x14ac:dyDescent="0.35">
      <c r="A1" s="10" t="s">
        <v>6</v>
      </c>
      <c r="B1" s="10" t="s">
        <v>200</v>
      </c>
    </row>
    <row r="2" spans="1:2" x14ac:dyDescent="0.25">
      <c r="A2" t="s">
        <v>165</v>
      </c>
      <c r="B2">
        <v>101</v>
      </c>
    </row>
    <row r="3" spans="1:2" x14ac:dyDescent="0.25">
      <c r="A3" t="s">
        <v>162</v>
      </c>
      <c r="B3">
        <v>102</v>
      </c>
    </row>
    <row r="4" spans="1:2" x14ac:dyDescent="0.25">
      <c r="A4" t="s">
        <v>160</v>
      </c>
      <c r="B4">
        <v>103</v>
      </c>
    </row>
    <row r="5" spans="1:2" x14ac:dyDescent="0.25">
      <c r="A5" t="s">
        <v>159</v>
      </c>
      <c r="B5">
        <v>104</v>
      </c>
    </row>
    <row r="31" spans="6:7" x14ac:dyDescent="0.25">
      <c r="F31" s="1"/>
      <c r="G31"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sortState ref="A3:B6">
    <sortCondition ref="A3"/>
  </sortState>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zoomScaleNormal="100" workbookViewId="0">
      <selection activeCell="E1" sqref="E1:J1"/>
    </sheetView>
  </sheetViews>
  <sheetFormatPr defaultColWidth="11" defaultRowHeight="15.75" x14ac:dyDescent="0.25"/>
  <cols>
    <col min="1" max="1" width="32.875" bestFit="1" customWidth="1"/>
    <col min="2" max="2" width="13.875" customWidth="1"/>
    <col min="3" max="3" width="18.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1" spans="1:10" ht="23.25" x14ac:dyDescent="0.35">
      <c r="A1" s="10" t="s">
        <v>5</v>
      </c>
      <c r="B1" s="10" t="s">
        <v>168</v>
      </c>
      <c r="C1" s="10" t="s">
        <v>100</v>
      </c>
      <c r="D1" s="10" t="s">
        <v>101</v>
      </c>
    </row>
    <row r="2" spans="1:10" x14ac:dyDescent="0.25">
      <c r="A2" t="s">
        <v>72</v>
      </c>
      <c r="B2" s="5" t="s">
        <v>169</v>
      </c>
      <c r="C2" t="s">
        <v>102</v>
      </c>
      <c r="D2" t="s">
        <v>103</v>
      </c>
      <c r="H2" s="6"/>
      <c r="I2" s="9"/>
      <c r="J2" s="7"/>
    </row>
    <row r="3" spans="1:10" x14ac:dyDescent="0.25">
      <c r="A3" t="s">
        <v>90</v>
      </c>
      <c r="B3" s="5" t="s">
        <v>170</v>
      </c>
      <c r="C3" t="s">
        <v>138</v>
      </c>
      <c r="D3" t="s">
        <v>139</v>
      </c>
      <c r="H3" s="6"/>
      <c r="I3" s="9"/>
      <c r="J3" s="7"/>
    </row>
    <row r="4" spans="1:10" x14ac:dyDescent="0.25">
      <c r="A4" t="s">
        <v>80</v>
      </c>
      <c r="B4" s="5" t="s">
        <v>171</v>
      </c>
      <c r="C4" t="s">
        <v>118</v>
      </c>
      <c r="D4" t="s">
        <v>119</v>
      </c>
      <c r="H4" s="6"/>
      <c r="I4" s="9"/>
      <c r="J4" s="7"/>
    </row>
    <row r="5" spans="1:10" x14ac:dyDescent="0.25">
      <c r="A5" t="s">
        <v>89</v>
      </c>
      <c r="B5" s="5" t="s">
        <v>172</v>
      </c>
      <c r="C5" t="s">
        <v>136</v>
      </c>
      <c r="D5" t="s">
        <v>137</v>
      </c>
      <c r="H5" s="8"/>
      <c r="I5" s="9"/>
      <c r="J5" s="7"/>
    </row>
    <row r="6" spans="1:10" x14ac:dyDescent="0.25">
      <c r="A6" t="s">
        <v>88</v>
      </c>
      <c r="B6" s="5" t="s">
        <v>173</v>
      </c>
      <c r="C6" t="s">
        <v>134</v>
      </c>
      <c r="D6" t="s">
        <v>135</v>
      </c>
      <c r="H6" s="6"/>
      <c r="I6" s="9"/>
      <c r="J6" s="7"/>
    </row>
    <row r="7" spans="1:10" x14ac:dyDescent="0.25">
      <c r="A7" t="s">
        <v>79</v>
      </c>
      <c r="B7" s="5" t="s">
        <v>174</v>
      </c>
      <c r="C7" t="s">
        <v>116</v>
      </c>
      <c r="D7" t="s">
        <v>117</v>
      </c>
      <c r="H7" s="6"/>
      <c r="I7" s="9"/>
      <c r="J7" s="7"/>
    </row>
    <row r="8" spans="1:10" x14ac:dyDescent="0.25">
      <c r="A8" t="s">
        <v>94</v>
      </c>
      <c r="B8" s="5" t="s">
        <v>175</v>
      </c>
      <c r="C8" t="s">
        <v>146</v>
      </c>
      <c r="D8" t="s">
        <v>147</v>
      </c>
      <c r="H8" s="6"/>
      <c r="I8" s="9"/>
      <c r="J8" s="7"/>
    </row>
    <row r="9" spans="1:10" x14ac:dyDescent="0.25">
      <c r="A9" t="s">
        <v>83</v>
      </c>
      <c r="B9" s="5" t="s">
        <v>176</v>
      </c>
      <c r="C9" t="s">
        <v>124</v>
      </c>
      <c r="D9" t="s">
        <v>125</v>
      </c>
      <c r="H9" s="6"/>
      <c r="I9" s="9"/>
      <c r="J9" s="7"/>
    </row>
    <row r="10" spans="1:10" x14ac:dyDescent="0.25">
      <c r="A10" t="s">
        <v>95</v>
      </c>
      <c r="B10" s="5" t="s">
        <v>177</v>
      </c>
      <c r="C10" t="s">
        <v>148</v>
      </c>
      <c r="D10" t="s">
        <v>149</v>
      </c>
      <c r="H10" s="6"/>
      <c r="I10" s="9"/>
      <c r="J10" s="7"/>
    </row>
    <row r="11" spans="1:10" x14ac:dyDescent="0.25">
      <c r="A11" t="s">
        <v>85</v>
      </c>
      <c r="B11" s="5" t="s">
        <v>178</v>
      </c>
      <c r="C11" t="s">
        <v>128</v>
      </c>
      <c r="D11" t="s">
        <v>129</v>
      </c>
      <c r="H11" s="6"/>
      <c r="I11" s="9"/>
      <c r="J11" s="7"/>
    </row>
    <row r="12" spans="1:10" x14ac:dyDescent="0.25">
      <c r="A12" t="s">
        <v>97</v>
      </c>
      <c r="B12" s="5" t="s">
        <v>179</v>
      </c>
      <c r="C12" t="s">
        <v>152</v>
      </c>
      <c r="D12" t="s">
        <v>153</v>
      </c>
      <c r="H12" s="6"/>
      <c r="I12" s="9"/>
      <c r="J12" s="7"/>
    </row>
    <row r="13" spans="1:10" x14ac:dyDescent="0.25">
      <c r="A13" t="s">
        <v>98</v>
      </c>
      <c r="B13" s="5" t="s">
        <v>180</v>
      </c>
      <c r="C13" t="s">
        <v>154</v>
      </c>
      <c r="D13" t="s">
        <v>155</v>
      </c>
      <c r="H13" s="6"/>
      <c r="I13" s="9"/>
      <c r="J13" s="7"/>
    </row>
    <row r="14" spans="1:10" x14ac:dyDescent="0.25">
      <c r="A14" t="s">
        <v>92</v>
      </c>
      <c r="B14" s="5" t="s">
        <v>181</v>
      </c>
      <c r="C14" t="s">
        <v>142</v>
      </c>
      <c r="D14" t="s">
        <v>143</v>
      </c>
      <c r="H14" s="6"/>
      <c r="I14" s="9"/>
      <c r="J14" s="7"/>
    </row>
    <row r="15" spans="1:10" x14ac:dyDescent="0.25">
      <c r="A15" t="s">
        <v>91</v>
      </c>
      <c r="B15" s="5" t="s">
        <v>182</v>
      </c>
      <c r="C15" t="s">
        <v>140</v>
      </c>
      <c r="D15" t="s">
        <v>141</v>
      </c>
      <c r="H15" s="8"/>
      <c r="I15" s="9"/>
      <c r="J15" s="7"/>
    </row>
    <row r="16" spans="1:10" x14ac:dyDescent="0.25">
      <c r="A16" t="s">
        <v>96</v>
      </c>
      <c r="B16" s="5" t="s">
        <v>183</v>
      </c>
      <c r="C16" t="s">
        <v>150</v>
      </c>
      <c r="D16" t="s">
        <v>151</v>
      </c>
      <c r="H16" s="6"/>
      <c r="I16" s="9"/>
      <c r="J16" s="7"/>
    </row>
    <row r="17" spans="1:11" x14ac:dyDescent="0.25">
      <c r="A17" t="s">
        <v>77</v>
      </c>
      <c r="B17" s="5" t="s">
        <v>184</v>
      </c>
      <c r="C17" t="s">
        <v>112</v>
      </c>
      <c r="D17" t="s">
        <v>113</v>
      </c>
      <c r="H17" s="6"/>
      <c r="I17" s="9"/>
      <c r="J17" s="7"/>
    </row>
    <row r="18" spans="1:11" x14ac:dyDescent="0.25">
      <c r="A18" t="s">
        <v>99</v>
      </c>
      <c r="B18" s="5" t="s">
        <v>185</v>
      </c>
      <c r="C18" t="s">
        <v>156</v>
      </c>
      <c r="D18" t="s">
        <v>157</v>
      </c>
      <c r="H18" s="6"/>
      <c r="I18" s="9"/>
      <c r="J18" s="7"/>
    </row>
    <row r="19" spans="1:11" x14ac:dyDescent="0.25">
      <c r="A19" t="s">
        <v>84</v>
      </c>
      <c r="B19" s="5" t="s">
        <v>186</v>
      </c>
      <c r="C19" t="s">
        <v>126</v>
      </c>
      <c r="D19" t="s">
        <v>127</v>
      </c>
      <c r="H19" s="6"/>
      <c r="I19" s="9"/>
      <c r="J19" s="7"/>
    </row>
    <row r="20" spans="1:11" x14ac:dyDescent="0.25">
      <c r="A20" t="s">
        <v>93</v>
      </c>
      <c r="B20" s="5" t="s">
        <v>187</v>
      </c>
      <c r="C20" t="s">
        <v>144</v>
      </c>
      <c r="D20" t="s">
        <v>145</v>
      </c>
      <c r="H20" s="6"/>
      <c r="I20" s="9"/>
      <c r="J20" s="7"/>
    </row>
    <row r="21" spans="1:11" x14ac:dyDescent="0.25">
      <c r="A21" t="s">
        <v>78</v>
      </c>
      <c r="B21" s="5" t="s">
        <v>188</v>
      </c>
      <c r="C21" t="s">
        <v>114</v>
      </c>
      <c r="D21" t="s">
        <v>115</v>
      </c>
      <c r="H21" s="6"/>
      <c r="I21" s="9"/>
      <c r="J21" s="7"/>
    </row>
    <row r="22" spans="1:11" x14ac:dyDescent="0.25">
      <c r="A22" t="s">
        <v>74</v>
      </c>
      <c r="B22" s="5" t="s">
        <v>189</v>
      </c>
      <c r="C22" t="s">
        <v>106</v>
      </c>
      <c r="D22" t="s">
        <v>107</v>
      </c>
      <c r="H22" s="6"/>
      <c r="I22" s="9"/>
      <c r="J22" s="7"/>
    </row>
    <row r="23" spans="1:11" x14ac:dyDescent="0.25">
      <c r="A23" t="s">
        <v>82</v>
      </c>
      <c r="B23" s="5" t="s">
        <v>190</v>
      </c>
      <c r="C23" t="s">
        <v>122</v>
      </c>
      <c r="D23" t="s">
        <v>123</v>
      </c>
      <c r="H23" s="6"/>
      <c r="I23" s="9"/>
      <c r="J23" s="7"/>
    </row>
    <row r="24" spans="1:11" x14ac:dyDescent="0.25">
      <c r="A24" t="s">
        <v>73</v>
      </c>
      <c r="B24" s="5" t="s">
        <v>191</v>
      </c>
      <c r="C24" t="s">
        <v>104</v>
      </c>
      <c r="D24" t="s">
        <v>105</v>
      </c>
      <c r="H24" s="6"/>
      <c r="I24" s="9"/>
      <c r="J24" s="7"/>
    </row>
    <row r="25" spans="1:11" x14ac:dyDescent="0.25">
      <c r="A25" t="s">
        <v>76</v>
      </c>
      <c r="B25" s="5" t="s">
        <v>192</v>
      </c>
      <c r="C25" t="s">
        <v>110</v>
      </c>
      <c r="D25" t="s">
        <v>111</v>
      </c>
      <c r="H25" s="6"/>
      <c r="I25" s="9"/>
      <c r="J25" s="7"/>
    </row>
    <row r="26" spans="1:11" x14ac:dyDescent="0.25">
      <c r="A26" t="s">
        <v>87</v>
      </c>
      <c r="B26" s="5" t="s">
        <v>193</v>
      </c>
      <c r="C26" t="s">
        <v>132</v>
      </c>
      <c r="D26" t="s">
        <v>133</v>
      </c>
      <c r="H26" s="6"/>
      <c r="I26" s="9"/>
      <c r="J26" s="7"/>
    </row>
    <row r="27" spans="1:11" x14ac:dyDescent="0.25">
      <c r="A27" t="s">
        <v>75</v>
      </c>
      <c r="B27" s="5" t="s">
        <v>194</v>
      </c>
      <c r="C27" t="s">
        <v>108</v>
      </c>
      <c r="D27" t="s">
        <v>109</v>
      </c>
      <c r="H27" s="6"/>
      <c r="I27" s="9"/>
      <c r="J27" s="7"/>
    </row>
    <row r="28" spans="1:11" x14ac:dyDescent="0.25">
      <c r="A28" t="s">
        <v>86</v>
      </c>
      <c r="B28" s="5" t="s">
        <v>195</v>
      </c>
      <c r="C28" t="s">
        <v>130</v>
      </c>
      <c r="D28" t="s">
        <v>131</v>
      </c>
      <c r="H28" s="6"/>
      <c r="I28" s="9"/>
      <c r="J28" s="7"/>
    </row>
    <row r="29" spans="1:11" x14ac:dyDescent="0.25">
      <c r="A29" t="s">
        <v>81</v>
      </c>
      <c r="B29" s="5" t="s">
        <v>196</v>
      </c>
      <c r="C29" t="s">
        <v>120</v>
      </c>
      <c r="D29" t="s">
        <v>121</v>
      </c>
      <c r="I29" s="6"/>
      <c r="J29" s="9"/>
      <c r="K29" s="7"/>
    </row>
    <row r="30" spans="1:11" x14ac:dyDescent="0.25">
      <c r="F30" s="1"/>
      <c r="G30" s="1"/>
    </row>
    <row r="34" spans="6:7" x14ac:dyDescent="0.25">
      <c r="F34" s="1"/>
      <c r="G34"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sheetData>
  <sortState ref="B3:D30">
    <sortCondition ref="B3:B30"/>
    <sortCondition ref="C3:C30"/>
    <sortCondition ref="D3:D30"/>
  </sortState>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heetViews>
  <sheetFormatPr defaultRowHeight="15.75" x14ac:dyDescent="0.25"/>
  <cols>
    <col min="1" max="1" width="23.625" bestFit="1" customWidth="1"/>
    <col min="2" max="2" width="20.25" bestFit="1" customWidth="1"/>
    <col min="3" max="3" width="23.875" bestFit="1" customWidth="1"/>
    <col min="4" max="4" width="29.5" bestFit="1" customWidth="1"/>
    <col min="5" max="5" width="23.5" bestFit="1" customWidth="1"/>
    <col min="6" max="6" width="26.625" bestFit="1" customWidth="1"/>
    <col min="7" max="7" width="23.75" bestFit="1" customWidth="1"/>
    <col min="8" max="8" width="21.125" bestFit="1" customWidth="1"/>
    <col min="9" max="9" width="28" bestFit="1" customWidth="1"/>
  </cols>
  <sheetData>
    <row r="1" spans="1:9" x14ac:dyDescent="0.25">
      <c r="A1" t="s">
        <v>249</v>
      </c>
    </row>
    <row r="3" spans="1:9" x14ac:dyDescent="0.25">
      <c r="A3" t="s">
        <v>240</v>
      </c>
      <c r="B3" t="s">
        <v>241</v>
      </c>
      <c r="C3" t="s">
        <v>242</v>
      </c>
      <c r="D3" t="s">
        <v>243</v>
      </c>
      <c r="E3" t="s">
        <v>244</v>
      </c>
      <c r="F3" t="s">
        <v>245</v>
      </c>
      <c r="G3" t="s">
        <v>246</v>
      </c>
      <c r="H3" t="s">
        <v>247</v>
      </c>
      <c r="I3" t="s">
        <v>248</v>
      </c>
    </row>
    <row r="4" spans="1:9" x14ac:dyDescent="0.25">
      <c r="A4" t="s">
        <v>202</v>
      </c>
      <c r="B4" s="3">
        <v>45076</v>
      </c>
      <c r="C4" t="s">
        <v>169</v>
      </c>
      <c r="D4">
        <v>102</v>
      </c>
      <c r="E4">
        <v>104</v>
      </c>
      <c r="F4">
        <v>105</v>
      </c>
      <c r="G4">
        <v>4500</v>
      </c>
      <c r="H4">
        <v>598</v>
      </c>
      <c r="I4">
        <v>0.13288888888888889</v>
      </c>
    </row>
    <row r="5" spans="1:9" x14ac:dyDescent="0.25">
      <c r="A5" t="s">
        <v>203</v>
      </c>
      <c r="B5" s="3">
        <v>45076</v>
      </c>
      <c r="C5" t="s">
        <v>191</v>
      </c>
      <c r="D5">
        <v>104</v>
      </c>
      <c r="E5">
        <v>103</v>
      </c>
      <c r="F5">
        <v>104</v>
      </c>
      <c r="G5">
        <v>3800</v>
      </c>
      <c r="H5">
        <v>1045</v>
      </c>
      <c r="I5">
        <v>0.27500000000000002</v>
      </c>
    </row>
    <row r="6" spans="1:9" x14ac:dyDescent="0.25">
      <c r="A6" t="s">
        <v>204</v>
      </c>
      <c r="B6" s="3">
        <v>45076</v>
      </c>
      <c r="C6" t="s">
        <v>189</v>
      </c>
      <c r="D6">
        <v>104</v>
      </c>
      <c r="E6">
        <v>103</v>
      </c>
      <c r="F6">
        <v>103</v>
      </c>
      <c r="G6">
        <v>3712.5</v>
      </c>
      <c r="H6">
        <v>1009</v>
      </c>
      <c r="I6">
        <v>0.2717845117845118</v>
      </c>
    </row>
    <row r="7" spans="1:9" x14ac:dyDescent="0.25">
      <c r="A7" t="s">
        <v>205</v>
      </c>
      <c r="B7" s="3">
        <v>45076</v>
      </c>
      <c r="C7" t="s">
        <v>194</v>
      </c>
      <c r="D7">
        <v>103</v>
      </c>
      <c r="E7">
        <v>102</v>
      </c>
      <c r="F7">
        <v>103</v>
      </c>
      <c r="G7">
        <v>747.07491082045203</v>
      </c>
      <c r="H7">
        <v>779</v>
      </c>
      <c r="I7">
        <v>1.042733451113339</v>
      </c>
    </row>
    <row r="8" spans="1:9" x14ac:dyDescent="0.25">
      <c r="A8" t="s">
        <v>206</v>
      </c>
      <c r="B8" s="3">
        <v>45076</v>
      </c>
      <c r="C8" t="s">
        <v>192</v>
      </c>
      <c r="D8">
        <v>103</v>
      </c>
      <c r="E8">
        <v>102</v>
      </c>
      <c r="F8">
        <v>102</v>
      </c>
      <c r="G8">
        <v>5000</v>
      </c>
      <c r="H8">
        <v>684</v>
      </c>
      <c r="I8">
        <v>0.1368</v>
      </c>
    </row>
    <row r="9" spans="1:9" x14ac:dyDescent="0.25">
      <c r="A9" t="s">
        <v>207</v>
      </c>
      <c r="B9" s="3">
        <v>45077</v>
      </c>
      <c r="C9" t="s">
        <v>184</v>
      </c>
      <c r="D9">
        <v>102</v>
      </c>
      <c r="E9">
        <v>104</v>
      </c>
      <c r="F9">
        <v>105</v>
      </c>
      <c r="G9">
        <v>6100</v>
      </c>
      <c r="H9">
        <v>544</v>
      </c>
      <c r="I9">
        <v>8.9180327868852494E-2</v>
      </c>
    </row>
    <row r="10" spans="1:9" x14ac:dyDescent="0.25">
      <c r="A10" t="s">
        <v>208</v>
      </c>
      <c r="B10" s="3">
        <v>45077</v>
      </c>
      <c r="C10" t="s">
        <v>188</v>
      </c>
      <c r="D10">
        <v>102</v>
      </c>
      <c r="E10">
        <v>104</v>
      </c>
      <c r="F10">
        <v>105</v>
      </c>
      <c r="G10">
        <v>4625</v>
      </c>
      <c r="H10">
        <v>670</v>
      </c>
      <c r="I10">
        <v>0.14486486486486486</v>
      </c>
    </row>
    <row r="11" spans="1:9" x14ac:dyDescent="0.25">
      <c r="A11" t="s">
        <v>209</v>
      </c>
      <c r="B11" s="3">
        <v>45077</v>
      </c>
      <c r="C11" t="s">
        <v>174</v>
      </c>
      <c r="D11">
        <v>102</v>
      </c>
      <c r="E11">
        <v>104</v>
      </c>
      <c r="F11">
        <v>105</v>
      </c>
      <c r="G11">
        <v>3800</v>
      </c>
      <c r="H11">
        <v>2045</v>
      </c>
      <c r="I11">
        <v>0.53815789473684206</v>
      </c>
    </row>
    <row r="12" spans="1:9" x14ac:dyDescent="0.25">
      <c r="A12" t="s">
        <v>210</v>
      </c>
      <c r="B12" s="3">
        <v>45077</v>
      </c>
      <c r="C12" t="s">
        <v>171</v>
      </c>
      <c r="D12">
        <v>102</v>
      </c>
      <c r="E12">
        <v>104</v>
      </c>
      <c r="F12">
        <v>101</v>
      </c>
      <c r="G12">
        <v>3600</v>
      </c>
      <c r="H12">
        <v>1564</v>
      </c>
      <c r="I12">
        <v>0.43444444444444447</v>
      </c>
    </row>
    <row r="13" spans="1:9" x14ac:dyDescent="0.25">
      <c r="A13" t="s">
        <v>211</v>
      </c>
      <c r="B13" s="3">
        <v>45077</v>
      </c>
      <c r="C13" t="s">
        <v>196</v>
      </c>
      <c r="D13">
        <v>102</v>
      </c>
      <c r="E13">
        <v>104</v>
      </c>
      <c r="F13">
        <v>102</v>
      </c>
      <c r="G13">
        <v>5100</v>
      </c>
      <c r="H13">
        <v>1220</v>
      </c>
      <c r="I13">
        <v>0.23921568627450981</v>
      </c>
    </row>
    <row r="14" spans="1:9" x14ac:dyDescent="0.25">
      <c r="A14" t="s">
        <v>212</v>
      </c>
      <c r="B14" s="3">
        <v>45077</v>
      </c>
      <c r="C14" t="s">
        <v>190</v>
      </c>
      <c r="D14">
        <v>102</v>
      </c>
      <c r="E14">
        <v>104</v>
      </c>
      <c r="F14">
        <v>102</v>
      </c>
      <c r="G14">
        <v>4750</v>
      </c>
      <c r="H14">
        <v>1435</v>
      </c>
      <c r="I14">
        <v>0.30210526315789471</v>
      </c>
    </row>
    <row r="15" spans="1:9" x14ac:dyDescent="0.25">
      <c r="A15" t="s">
        <v>213</v>
      </c>
      <c r="B15" s="3">
        <v>45077</v>
      </c>
      <c r="C15" t="s">
        <v>176</v>
      </c>
      <c r="D15">
        <v>103</v>
      </c>
      <c r="E15">
        <v>102</v>
      </c>
      <c r="F15">
        <v>105</v>
      </c>
      <c r="G15">
        <v>6000</v>
      </c>
      <c r="H15">
        <v>998</v>
      </c>
      <c r="I15">
        <v>0.16633333333333333</v>
      </c>
    </row>
    <row r="16" spans="1:9" x14ac:dyDescent="0.25">
      <c r="A16" t="s">
        <v>214</v>
      </c>
      <c r="B16" s="3">
        <v>45077</v>
      </c>
      <c r="C16" t="s">
        <v>186</v>
      </c>
      <c r="D16">
        <v>101</v>
      </c>
      <c r="E16">
        <v>101</v>
      </c>
      <c r="F16">
        <v>102</v>
      </c>
      <c r="G16">
        <v>4500</v>
      </c>
      <c r="H16">
        <v>780</v>
      </c>
      <c r="I16">
        <v>0.17333333333333334</v>
      </c>
    </row>
    <row r="17" spans="1:9" x14ac:dyDescent="0.25">
      <c r="A17" t="s">
        <v>215</v>
      </c>
      <c r="B17" s="3">
        <v>45078</v>
      </c>
      <c r="C17" t="s">
        <v>178</v>
      </c>
      <c r="D17">
        <v>101</v>
      </c>
      <c r="E17">
        <v>101</v>
      </c>
      <c r="F17">
        <v>101</v>
      </c>
      <c r="G17">
        <v>851.35766944114152</v>
      </c>
      <c r="H17">
        <v>1044</v>
      </c>
      <c r="I17">
        <v>1.2262766137824483</v>
      </c>
    </row>
    <row r="18" spans="1:9" x14ac:dyDescent="0.25">
      <c r="A18" t="s">
        <v>216</v>
      </c>
      <c r="B18" s="3">
        <v>45078</v>
      </c>
      <c r="C18" t="s">
        <v>195</v>
      </c>
      <c r="D18">
        <v>101</v>
      </c>
      <c r="E18">
        <v>101</v>
      </c>
      <c r="F18">
        <v>105</v>
      </c>
      <c r="G18">
        <v>3712.5</v>
      </c>
      <c r="H18">
        <v>1222</v>
      </c>
      <c r="I18">
        <v>0.32915824915824915</v>
      </c>
    </row>
    <row r="19" spans="1:9" x14ac:dyDescent="0.25">
      <c r="A19" t="s">
        <v>217</v>
      </c>
      <c r="B19" s="3">
        <v>45078</v>
      </c>
      <c r="C19" t="s">
        <v>193</v>
      </c>
      <c r="D19">
        <v>101</v>
      </c>
      <c r="E19">
        <v>101</v>
      </c>
      <c r="F19">
        <v>105</v>
      </c>
      <c r="G19">
        <v>4950</v>
      </c>
      <c r="H19">
        <v>1065</v>
      </c>
      <c r="I19">
        <v>0.21515151515151515</v>
      </c>
    </row>
    <row r="20" spans="1:9" x14ac:dyDescent="0.25">
      <c r="A20" t="s">
        <v>218</v>
      </c>
      <c r="B20" s="3">
        <v>45078</v>
      </c>
      <c r="C20" t="s">
        <v>173</v>
      </c>
      <c r="D20">
        <v>103</v>
      </c>
      <c r="E20">
        <v>102</v>
      </c>
      <c r="F20">
        <v>105</v>
      </c>
      <c r="G20">
        <v>4750</v>
      </c>
      <c r="H20">
        <v>810</v>
      </c>
      <c r="I20">
        <v>0.17052631578947369</v>
      </c>
    </row>
    <row r="21" spans="1:9" x14ac:dyDescent="0.25">
      <c r="A21" t="s">
        <v>219</v>
      </c>
      <c r="B21" s="3">
        <v>45078</v>
      </c>
      <c r="C21" t="s">
        <v>172</v>
      </c>
      <c r="D21">
        <v>103</v>
      </c>
      <c r="E21">
        <v>102</v>
      </c>
      <c r="F21">
        <v>105</v>
      </c>
      <c r="G21">
        <v>7320</v>
      </c>
      <c r="H21">
        <v>933</v>
      </c>
      <c r="I21">
        <v>0.12745901639344262</v>
      </c>
    </row>
    <row r="22" spans="1:9" x14ac:dyDescent="0.25">
      <c r="A22" t="s">
        <v>220</v>
      </c>
      <c r="B22" s="3">
        <v>45078</v>
      </c>
      <c r="C22" t="s">
        <v>170</v>
      </c>
      <c r="D22">
        <v>101</v>
      </c>
      <c r="E22">
        <v>101</v>
      </c>
      <c r="F22">
        <v>105</v>
      </c>
      <c r="G22">
        <v>5087.5</v>
      </c>
      <c r="H22">
        <v>655</v>
      </c>
      <c r="I22">
        <v>0.12874692874692875</v>
      </c>
    </row>
    <row r="23" spans="1:9" x14ac:dyDescent="0.25">
      <c r="A23" t="s">
        <v>221</v>
      </c>
      <c r="B23" s="3">
        <v>45078</v>
      </c>
      <c r="C23" t="s">
        <v>182</v>
      </c>
      <c r="D23">
        <v>101</v>
      </c>
      <c r="E23">
        <v>101</v>
      </c>
      <c r="F23">
        <v>105</v>
      </c>
      <c r="G23">
        <v>4500</v>
      </c>
      <c r="H23">
        <v>722</v>
      </c>
      <c r="I23">
        <v>0.16044444444444445</v>
      </c>
    </row>
    <row r="24" spans="1:9" x14ac:dyDescent="0.25">
      <c r="A24" t="s">
        <v>222</v>
      </c>
      <c r="B24" s="3">
        <v>45078</v>
      </c>
      <c r="C24" t="s">
        <v>181</v>
      </c>
      <c r="D24">
        <v>101</v>
      </c>
      <c r="E24">
        <v>101</v>
      </c>
      <c r="F24">
        <v>101</v>
      </c>
      <c r="G24">
        <v>4250</v>
      </c>
      <c r="H24">
        <v>901</v>
      </c>
      <c r="I24">
        <v>0.21199999999999999</v>
      </c>
    </row>
    <row r="25" spans="1:9" x14ac:dyDescent="0.25">
      <c r="A25" t="s">
        <v>223</v>
      </c>
      <c r="B25" s="3">
        <v>45079</v>
      </c>
      <c r="C25" t="s">
        <v>187</v>
      </c>
      <c r="D25">
        <v>101</v>
      </c>
      <c r="E25">
        <v>101</v>
      </c>
      <c r="F25">
        <v>104</v>
      </c>
      <c r="G25">
        <v>5250</v>
      </c>
      <c r="H25">
        <v>1349</v>
      </c>
      <c r="I25">
        <v>0.25695238095238093</v>
      </c>
    </row>
    <row r="26" spans="1:9" x14ac:dyDescent="0.25">
      <c r="A26" t="s">
        <v>224</v>
      </c>
      <c r="B26" s="3">
        <v>45079</v>
      </c>
      <c r="C26" t="s">
        <v>175</v>
      </c>
      <c r="D26">
        <v>104</v>
      </c>
      <c r="E26">
        <v>103</v>
      </c>
      <c r="F26">
        <v>104</v>
      </c>
      <c r="G26">
        <v>6500</v>
      </c>
      <c r="H26">
        <v>1288</v>
      </c>
      <c r="I26">
        <v>0.19815384615384615</v>
      </c>
    </row>
    <row r="27" spans="1:9" x14ac:dyDescent="0.25">
      <c r="A27" t="s">
        <v>225</v>
      </c>
      <c r="B27" s="3">
        <v>45079</v>
      </c>
      <c r="C27" t="s">
        <v>177</v>
      </c>
      <c r="D27">
        <v>104</v>
      </c>
      <c r="E27">
        <v>103</v>
      </c>
      <c r="F27">
        <v>104</v>
      </c>
      <c r="G27">
        <v>7500</v>
      </c>
      <c r="H27">
        <v>1664</v>
      </c>
      <c r="I27">
        <v>0.22186666666666666</v>
      </c>
    </row>
    <row r="28" spans="1:9" x14ac:dyDescent="0.25">
      <c r="A28" t="s">
        <v>226</v>
      </c>
      <c r="B28" s="3">
        <v>45079</v>
      </c>
      <c r="C28" t="s">
        <v>183</v>
      </c>
      <c r="D28">
        <v>104</v>
      </c>
      <c r="E28">
        <v>103</v>
      </c>
      <c r="F28">
        <v>105</v>
      </c>
      <c r="G28">
        <v>5500</v>
      </c>
      <c r="H28">
        <v>1320</v>
      </c>
      <c r="I28">
        <v>0.24</v>
      </c>
    </row>
    <row r="29" spans="1:9" x14ac:dyDescent="0.25">
      <c r="A29" t="s">
        <v>227</v>
      </c>
      <c r="B29" s="3">
        <v>45079</v>
      </c>
      <c r="C29" t="s">
        <v>179</v>
      </c>
      <c r="D29">
        <v>104</v>
      </c>
      <c r="E29">
        <v>103</v>
      </c>
      <c r="F29">
        <v>105</v>
      </c>
      <c r="G29">
        <v>4625</v>
      </c>
      <c r="H29">
        <v>1001</v>
      </c>
      <c r="I29">
        <v>0.21643243243243243</v>
      </c>
    </row>
    <row r="30" spans="1:9" x14ac:dyDescent="0.25">
      <c r="A30" t="s">
        <v>228</v>
      </c>
      <c r="B30" s="3">
        <v>45079</v>
      </c>
      <c r="C30" t="s">
        <v>180</v>
      </c>
      <c r="D30">
        <v>104</v>
      </c>
      <c r="E30">
        <v>103</v>
      </c>
      <c r="F30">
        <v>105</v>
      </c>
      <c r="G30">
        <v>4500</v>
      </c>
      <c r="H30">
        <v>960</v>
      </c>
      <c r="I30">
        <v>0.21333333333333335</v>
      </c>
    </row>
    <row r="31" spans="1:9" x14ac:dyDescent="0.25">
      <c r="A31" t="s">
        <v>229</v>
      </c>
      <c r="B31" s="3">
        <v>45079</v>
      </c>
      <c r="C31" t="s">
        <v>185</v>
      </c>
      <c r="D31">
        <v>104</v>
      </c>
      <c r="E31">
        <v>103</v>
      </c>
      <c r="F31">
        <v>101</v>
      </c>
      <c r="G31">
        <v>5400</v>
      </c>
      <c r="H31">
        <v>540</v>
      </c>
      <c r="I31">
        <v>0.1</v>
      </c>
    </row>
    <row r="32" spans="1:9" x14ac:dyDescent="0.25">
      <c r="A32" t="s">
        <v>231</v>
      </c>
      <c r="B32" s="3">
        <v>45080</v>
      </c>
      <c r="C32" t="s">
        <v>186</v>
      </c>
      <c r="D32">
        <v>104</v>
      </c>
      <c r="E32">
        <v>103</v>
      </c>
      <c r="F32">
        <v>101</v>
      </c>
      <c r="G32">
        <v>5300</v>
      </c>
      <c r="H32">
        <v>530</v>
      </c>
      <c r="I32">
        <v>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heetViews>
  <sheetFormatPr defaultRowHeight="15.75" x14ac:dyDescent="0.25"/>
  <cols>
    <col min="1" max="1" width="23.625" bestFit="1" customWidth="1"/>
    <col min="2" max="2" width="20.25" bestFit="1" customWidth="1"/>
    <col min="3" max="3" width="23.875" bestFit="1" customWidth="1"/>
    <col min="4" max="4" width="29.5" bestFit="1" customWidth="1"/>
    <col min="5" max="5" width="23.5" bestFit="1" customWidth="1"/>
    <col min="6" max="6" width="26.625" bestFit="1" customWidth="1"/>
    <col min="7" max="7" width="23.75" bestFit="1" customWidth="1"/>
    <col min="8" max="8" width="21.125" bestFit="1" customWidth="1"/>
    <col min="9" max="9" width="28" bestFit="1" customWidth="1"/>
  </cols>
  <sheetData>
    <row r="1" spans="1:9" x14ac:dyDescent="0.25">
      <c r="A1" t="s">
        <v>258</v>
      </c>
    </row>
    <row r="3" spans="1:9" x14ac:dyDescent="0.25">
      <c r="A3" t="s">
        <v>240</v>
      </c>
      <c r="B3" t="s">
        <v>241</v>
      </c>
      <c r="C3" t="s">
        <v>242</v>
      </c>
      <c r="D3" t="s">
        <v>243</v>
      </c>
      <c r="E3" t="s">
        <v>244</v>
      </c>
      <c r="F3" t="s">
        <v>245</v>
      </c>
      <c r="G3" t="s">
        <v>246</v>
      </c>
      <c r="H3" t="s">
        <v>247</v>
      </c>
      <c r="I3" t="s">
        <v>248</v>
      </c>
    </row>
    <row r="4" spans="1:9" x14ac:dyDescent="0.25">
      <c r="A4" t="s">
        <v>202</v>
      </c>
      <c r="B4" s="3">
        <v>45076</v>
      </c>
      <c r="C4" t="s">
        <v>169</v>
      </c>
      <c r="D4">
        <v>102</v>
      </c>
      <c r="E4">
        <v>104</v>
      </c>
      <c r="F4">
        <v>105</v>
      </c>
      <c r="G4">
        <v>4500</v>
      </c>
      <c r="H4">
        <v>598</v>
      </c>
      <c r="I4">
        <v>0.13288888888888889</v>
      </c>
    </row>
    <row r="5" spans="1:9" x14ac:dyDescent="0.25">
      <c r="A5" t="s">
        <v>203</v>
      </c>
      <c r="B5" s="3">
        <v>45076</v>
      </c>
      <c r="C5" t="s">
        <v>191</v>
      </c>
      <c r="D5">
        <v>104</v>
      </c>
      <c r="E5">
        <v>103</v>
      </c>
      <c r="F5">
        <v>104</v>
      </c>
      <c r="G5">
        <v>3800</v>
      </c>
      <c r="H5">
        <v>1045</v>
      </c>
      <c r="I5">
        <v>0.27500000000000002</v>
      </c>
    </row>
    <row r="6" spans="1:9" x14ac:dyDescent="0.25">
      <c r="A6" t="s">
        <v>204</v>
      </c>
      <c r="B6" s="3">
        <v>45076</v>
      </c>
      <c r="C6" t="s">
        <v>189</v>
      </c>
      <c r="D6">
        <v>104</v>
      </c>
      <c r="E6">
        <v>103</v>
      </c>
      <c r="F6">
        <v>103</v>
      </c>
      <c r="G6">
        <v>3712.5</v>
      </c>
      <c r="H6">
        <v>1009</v>
      </c>
      <c r="I6">
        <v>0.2717845117845118</v>
      </c>
    </row>
    <row r="7" spans="1:9" x14ac:dyDescent="0.25">
      <c r="A7" t="s">
        <v>205</v>
      </c>
      <c r="B7" s="3">
        <v>45076</v>
      </c>
      <c r="C7" t="s">
        <v>194</v>
      </c>
      <c r="D7">
        <v>103</v>
      </c>
      <c r="E7">
        <v>102</v>
      </c>
      <c r="F7">
        <v>103</v>
      </c>
      <c r="G7">
        <v>747.07491082045203</v>
      </c>
      <c r="H7">
        <v>779</v>
      </c>
      <c r="I7">
        <v>1.042733451113339</v>
      </c>
    </row>
    <row r="8" spans="1:9" x14ac:dyDescent="0.25">
      <c r="A8" t="s">
        <v>206</v>
      </c>
      <c r="B8" s="3">
        <v>45076</v>
      </c>
      <c r="C8" t="s">
        <v>192</v>
      </c>
      <c r="D8">
        <v>103</v>
      </c>
      <c r="E8">
        <v>102</v>
      </c>
      <c r="F8">
        <v>102</v>
      </c>
      <c r="G8">
        <v>5000</v>
      </c>
      <c r="H8">
        <v>684</v>
      </c>
      <c r="I8">
        <v>0.1368</v>
      </c>
    </row>
    <row r="9" spans="1:9" x14ac:dyDescent="0.25">
      <c r="A9" t="s">
        <v>207</v>
      </c>
      <c r="B9" s="3">
        <v>45077</v>
      </c>
      <c r="C9" t="s">
        <v>184</v>
      </c>
      <c r="D9">
        <v>102</v>
      </c>
      <c r="E9">
        <v>104</v>
      </c>
      <c r="F9">
        <v>105</v>
      </c>
      <c r="G9">
        <v>6100</v>
      </c>
      <c r="H9">
        <v>544</v>
      </c>
      <c r="I9">
        <v>8.9180327868852494E-2</v>
      </c>
    </row>
    <row r="10" spans="1:9" x14ac:dyDescent="0.25">
      <c r="A10" t="s">
        <v>208</v>
      </c>
      <c r="B10" s="3">
        <v>45077</v>
      </c>
      <c r="C10" t="s">
        <v>188</v>
      </c>
      <c r="D10">
        <v>102</v>
      </c>
      <c r="E10">
        <v>104</v>
      </c>
      <c r="F10">
        <v>105</v>
      </c>
      <c r="G10">
        <v>4625</v>
      </c>
      <c r="H10">
        <v>670</v>
      </c>
      <c r="I10">
        <v>0.14486486486486486</v>
      </c>
    </row>
    <row r="11" spans="1:9" x14ac:dyDescent="0.25">
      <c r="A11" t="s">
        <v>209</v>
      </c>
      <c r="B11" s="3">
        <v>45077</v>
      </c>
      <c r="C11" t="s">
        <v>174</v>
      </c>
      <c r="D11">
        <v>102</v>
      </c>
      <c r="E11">
        <v>104</v>
      </c>
      <c r="F11">
        <v>105</v>
      </c>
      <c r="G11">
        <v>3800</v>
      </c>
      <c r="H11">
        <v>2045</v>
      </c>
      <c r="I11">
        <v>0.53815789473684206</v>
      </c>
    </row>
    <row r="12" spans="1:9" x14ac:dyDescent="0.25">
      <c r="A12" t="s">
        <v>210</v>
      </c>
      <c r="B12" s="3">
        <v>45077</v>
      </c>
      <c r="C12" t="s">
        <v>171</v>
      </c>
      <c r="D12">
        <v>102</v>
      </c>
      <c r="E12">
        <v>104</v>
      </c>
      <c r="F12">
        <v>101</v>
      </c>
      <c r="G12">
        <v>3600</v>
      </c>
      <c r="H12">
        <v>1564</v>
      </c>
      <c r="I12">
        <v>0.43444444444444447</v>
      </c>
    </row>
    <row r="13" spans="1:9" x14ac:dyDescent="0.25">
      <c r="A13" t="s">
        <v>211</v>
      </c>
      <c r="B13" s="3">
        <v>45077</v>
      </c>
      <c r="C13" t="s">
        <v>196</v>
      </c>
      <c r="D13">
        <v>102</v>
      </c>
      <c r="E13">
        <v>104</v>
      </c>
      <c r="F13">
        <v>102</v>
      </c>
      <c r="G13">
        <v>5100</v>
      </c>
      <c r="H13">
        <v>1220</v>
      </c>
      <c r="I13">
        <v>0.23921568627450981</v>
      </c>
    </row>
    <row r="14" spans="1:9" x14ac:dyDescent="0.25">
      <c r="A14" t="s">
        <v>212</v>
      </c>
      <c r="B14" s="3">
        <v>45077</v>
      </c>
      <c r="C14" t="s">
        <v>190</v>
      </c>
      <c r="D14">
        <v>102</v>
      </c>
      <c r="E14">
        <v>104</v>
      </c>
      <c r="F14">
        <v>102</v>
      </c>
      <c r="G14">
        <v>4750</v>
      </c>
      <c r="H14">
        <v>1435</v>
      </c>
      <c r="I14">
        <v>0.30210526315789471</v>
      </c>
    </row>
    <row r="15" spans="1:9" x14ac:dyDescent="0.25">
      <c r="A15" t="s">
        <v>213</v>
      </c>
      <c r="B15" s="3">
        <v>45077</v>
      </c>
      <c r="C15" t="s">
        <v>176</v>
      </c>
      <c r="D15">
        <v>103</v>
      </c>
      <c r="E15">
        <v>102</v>
      </c>
      <c r="F15">
        <v>105</v>
      </c>
      <c r="G15">
        <v>6000</v>
      </c>
      <c r="H15">
        <v>998</v>
      </c>
      <c r="I15">
        <v>0.16633333333333333</v>
      </c>
    </row>
    <row r="16" spans="1:9" x14ac:dyDescent="0.25">
      <c r="A16" t="s">
        <v>214</v>
      </c>
      <c r="B16" s="3">
        <v>45077</v>
      </c>
      <c r="C16" t="s">
        <v>186</v>
      </c>
      <c r="D16">
        <v>101</v>
      </c>
      <c r="E16">
        <v>101</v>
      </c>
      <c r="F16">
        <v>102</v>
      </c>
      <c r="G16">
        <v>4500</v>
      </c>
      <c r="H16">
        <v>780</v>
      </c>
      <c r="I16">
        <v>0.17333333333333334</v>
      </c>
    </row>
    <row r="17" spans="1:9" x14ac:dyDescent="0.25">
      <c r="A17" t="s">
        <v>215</v>
      </c>
      <c r="B17" s="3">
        <v>45078</v>
      </c>
      <c r="C17" t="s">
        <v>178</v>
      </c>
      <c r="D17">
        <v>101</v>
      </c>
      <c r="E17">
        <v>101</v>
      </c>
      <c r="F17">
        <v>101</v>
      </c>
      <c r="G17">
        <v>851.35766944114152</v>
      </c>
      <c r="H17">
        <v>1044</v>
      </c>
      <c r="I17">
        <v>1.2262766137824483</v>
      </c>
    </row>
    <row r="18" spans="1:9" x14ac:dyDescent="0.25">
      <c r="A18" t="s">
        <v>216</v>
      </c>
      <c r="B18" s="3">
        <v>45078</v>
      </c>
      <c r="C18" t="s">
        <v>195</v>
      </c>
      <c r="D18">
        <v>101</v>
      </c>
      <c r="E18">
        <v>101</v>
      </c>
      <c r="F18">
        <v>105</v>
      </c>
      <c r="G18">
        <v>3712.5</v>
      </c>
      <c r="H18">
        <v>1222</v>
      </c>
      <c r="I18">
        <v>0.32915824915824915</v>
      </c>
    </row>
    <row r="19" spans="1:9" x14ac:dyDescent="0.25">
      <c r="A19" t="s">
        <v>217</v>
      </c>
      <c r="B19" s="3">
        <v>45078</v>
      </c>
      <c r="C19" t="s">
        <v>193</v>
      </c>
      <c r="D19">
        <v>101</v>
      </c>
      <c r="E19">
        <v>101</v>
      </c>
      <c r="F19">
        <v>105</v>
      </c>
      <c r="G19">
        <v>4950</v>
      </c>
      <c r="H19">
        <v>1065</v>
      </c>
      <c r="I19">
        <v>0.21515151515151515</v>
      </c>
    </row>
    <row r="20" spans="1:9" x14ac:dyDescent="0.25">
      <c r="A20" t="s">
        <v>218</v>
      </c>
      <c r="B20" s="3">
        <v>45078</v>
      </c>
      <c r="C20" t="s">
        <v>173</v>
      </c>
      <c r="D20">
        <v>103</v>
      </c>
      <c r="E20">
        <v>102</v>
      </c>
      <c r="F20">
        <v>105</v>
      </c>
      <c r="G20">
        <v>4750</v>
      </c>
      <c r="H20">
        <v>810</v>
      </c>
      <c r="I20">
        <v>0.17052631578947369</v>
      </c>
    </row>
    <row r="21" spans="1:9" x14ac:dyDescent="0.25">
      <c r="A21" t="s">
        <v>219</v>
      </c>
      <c r="B21" s="3">
        <v>45078</v>
      </c>
      <c r="C21" t="s">
        <v>172</v>
      </c>
      <c r="D21">
        <v>103</v>
      </c>
      <c r="E21">
        <v>102</v>
      </c>
      <c r="F21">
        <v>105</v>
      </c>
      <c r="G21">
        <v>7320</v>
      </c>
      <c r="H21">
        <v>933</v>
      </c>
      <c r="I21">
        <v>0.12745901639344262</v>
      </c>
    </row>
    <row r="22" spans="1:9" x14ac:dyDescent="0.25">
      <c r="A22" t="s">
        <v>220</v>
      </c>
      <c r="B22" s="3">
        <v>45078</v>
      </c>
      <c r="C22" t="s">
        <v>170</v>
      </c>
      <c r="D22">
        <v>101</v>
      </c>
      <c r="E22">
        <v>101</v>
      </c>
      <c r="F22">
        <v>105</v>
      </c>
      <c r="G22">
        <v>5087.5</v>
      </c>
      <c r="H22">
        <v>655</v>
      </c>
      <c r="I22">
        <v>0.12874692874692875</v>
      </c>
    </row>
    <row r="23" spans="1:9" x14ac:dyDescent="0.25">
      <c r="A23" t="s">
        <v>221</v>
      </c>
      <c r="B23" s="3">
        <v>45078</v>
      </c>
      <c r="C23" t="s">
        <v>182</v>
      </c>
      <c r="D23">
        <v>101</v>
      </c>
      <c r="E23">
        <v>101</v>
      </c>
      <c r="F23">
        <v>105</v>
      </c>
      <c r="G23">
        <v>4500</v>
      </c>
      <c r="H23">
        <v>722</v>
      </c>
      <c r="I23">
        <v>0.16044444444444445</v>
      </c>
    </row>
    <row r="24" spans="1:9" x14ac:dyDescent="0.25">
      <c r="A24" t="s">
        <v>222</v>
      </c>
      <c r="B24" s="3">
        <v>45078</v>
      </c>
      <c r="C24" t="s">
        <v>181</v>
      </c>
      <c r="D24">
        <v>101</v>
      </c>
      <c r="E24">
        <v>101</v>
      </c>
      <c r="F24">
        <v>101</v>
      </c>
      <c r="G24">
        <v>4250</v>
      </c>
      <c r="H24">
        <v>901</v>
      </c>
      <c r="I24">
        <v>0.21199999999999999</v>
      </c>
    </row>
    <row r="25" spans="1:9" x14ac:dyDescent="0.25">
      <c r="A25" t="s">
        <v>223</v>
      </c>
      <c r="B25" s="3">
        <v>45079</v>
      </c>
      <c r="C25" t="s">
        <v>187</v>
      </c>
      <c r="D25">
        <v>101</v>
      </c>
      <c r="E25">
        <v>101</v>
      </c>
      <c r="F25">
        <v>104</v>
      </c>
      <c r="G25">
        <v>5250</v>
      </c>
      <c r="H25">
        <v>1349</v>
      </c>
      <c r="I25">
        <v>0.25695238095238093</v>
      </c>
    </row>
    <row r="26" spans="1:9" x14ac:dyDescent="0.25">
      <c r="A26" t="s">
        <v>224</v>
      </c>
      <c r="B26" s="3">
        <v>45079</v>
      </c>
      <c r="C26" t="s">
        <v>175</v>
      </c>
      <c r="D26">
        <v>104</v>
      </c>
      <c r="E26">
        <v>103</v>
      </c>
      <c r="F26">
        <v>104</v>
      </c>
      <c r="G26">
        <v>6500</v>
      </c>
      <c r="H26">
        <v>1288</v>
      </c>
      <c r="I26">
        <v>0.19815384615384615</v>
      </c>
    </row>
    <row r="27" spans="1:9" x14ac:dyDescent="0.25">
      <c r="A27" t="s">
        <v>225</v>
      </c>
      <c r="B27" s="3">
        <v>45079</v>
      </c>
      <c r="C27" t="s">
        <v>177</v>
      </c>
      <c r="D27">
        <v>104</v>
      </c>
      <c r="E27">
        <v>103</v>
      </c>
      <c r="F27">
        <v>104</v>
      </c>
      <c r="G27">
        <v>7500</v>
      </c>
      <c r="H27">
        <v>1664</v>
      </c>
      <c r="I27">
        <v>0.22186666666666666</v>
      </c>
    </row>
    <row r="28" spans="1:9" x14ac:dyDescent="0.25">
      <c r="A28" t="s">
        <v>226</v>
      </c>
      <c r="B28" s="3">
        <v>45079</v>
      </c>
      <c r="C28" t="s">
        <v>183</v>
      </c>
      <c r="D28">
        <v>104</v>
      </c>
      <c r="E28">
        <v>103</v>
      </c>
      <c r="F28">
        <v>105</v>
      </c>
      <c r="G28">
        <v>5500</v>
      </c>
      <c r="H28">
        <v>1320</v>
      </c>
      <c r="I28">
        <v>0.24</v>
      </c>
    </row>
    <row r="29" spans="1:9" x14ac:dyDescent="0.25">
      <c r="A29" t="s">
        <v>227</v>
      </c>
      <c r="B29" s="3">
        <v>45079</v>
      </c>
      <c r="C29" t="s">
        <v>179</v>
      </c>
      <c r="D29">
        <v>104</v>
      </c>
      <c r="E29">
        <v>103</v>
      </c>
      <c r="F29">
        <v>105</v>
      </c>
      <c r="G29">
        <v>4625</v>
      </c>
      <c r="H29">
        <v>1001</v>
      </c>
      <c r="I29">
        <v>0.21643243243243243</v>
      </c>
    </row>
    <row r="30" spans="1:9" x14ac:dyDescent="0.25">
      <c r="A30" t="s">
        <v>228</v>
      </c>
      <c r="B30" s="3">
        <v>45079</v>
      </c>
      <c r="C30" t="s">
        <v>180</v>
      </c>
      <c r="D30">
        <v>104</v>
      </c>
      <c r="E30">
        <v>103</v>
      </c>
      <c r="F30">
        <v>105</v>
      </c>
      <c r="G30">
        <v>4500</v>
      </c>
      <c r="H30">
        <v>960</v>
      </c>
      <c r="I30">
        <v>0.21333333333333335</v>
      </c>
    </row>
    <row r="31" spans="1:9" x14ac:dyDescent="0.25">
      <c r="A31" t="s">
        <v>229</v>
      </c>
      <c r="B31" s="3">
        <v>45079</v>
      </c>
      <c r="C31" t="s">
        <v>185</v>
      </c>
      <c r="D31">
        <v>104</v>
      </c>
      <c r="E31">
        <v>103</v>
      </c>
      <c r="F31">
        <v>101</v>
      </c>
      <c r="G31">
        <v>5400</v>
      </c>
      <c r="H31">
        <v>540</v>
      </c>
      <c r="I31">
        <v>0.1</v>
      </c>
    </row>
    <row r="32" spans="1:9" x14ac:dyDescent="0.25">
      <c r="A32" t="s">
        <v>231</v>
      </c>
      <c r="B32" s="3">
        <v>45080</v>
      </c>
      <c r="C32" t="s">
        <v>186</v>
      </c>
      <c r="D32">
        <v>104</v>
      </c>
      <c r="E32">
        <v>103</v>
      </c>
      <c r="F32">
        <v>101</v>
      </c>
      <c r="G32">
        <v>5300</v>
      </c>
      <c r="H32">
        <v>530</v>
      </c>
      <c r="I32">
        <v>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75" x14ac:dyDescent="0.25"/>
  <cols>
    <col min="1" max="1" width="23.625" bestFit="1" customWidth="1"/>
    <col min="2" max="2" width="20.25" bestFit="1" customWidth="1"/>
    <col min="3" max="3" width="23.875" bestFit="1" customWidth="1"/>
    <col min="4" max="4" width="29.5" bestFit="1" customWidth="1"/>
    <col min="5" max="5" width="23.5" bestFit="1" customWidth="1"/>
    <col min="6" max="6" width="26.625" bestFit="1" customWidth="1"/>
    <col min="7" max="7" width="23.75" bestFit="1" customWidth="1"/>
    <col min="8" max="8" width="21.125" bestFit="1" customWidth="1"/>
    <col min="9" max="9" width="28" bestFit="1" customWidth="1"/>
  </cols>
  <sheetData>
    <row r="1" spans="1:9" x14ac:dyDescent="0.25">
      <c r="A1" t="s">
        <v>261</v>
      </c>
    </row>
    <row r="3" spans="1:9" x14ac:dyDescent="0.25">
      <c r="A3" t="s">
        <v>240</v>
      </c>
      <c r="B3" t="s">
        <v>241</v>
      </c>
      <c r="C3" t="s">
        <v>242</v>
      </c>
      <c r="D3" t="s">
        <v>243</v>
      </c>
      <c r="E3" t="s">
        <v>244</v>
      </c>
      <c r="F3" t="s">
        <v>245</v>
      </c>
      <c r="G3" t="s">
        <v>246</v>
      </c>
      <c r="H3" t="s">
        <v>247</v>
      </c>
      <c r="I3" t="s">
        <v>248</v>
      </c>
    </row>
    <row r="4" spans="1:9" x14ac:dyDescent="0.25">
      <c r="A4" t="s">
        <v>231</v>
      </c>
      <c r="B4" s="3">
        <v>45080</v>
      </c>
      <c r="C4" t="s">
        <v>186</v>
      </c>
      <c r="D4">
        <v>104</v>
      </c>
      <c r="E4">
        <v>103</v>
      </c>
      <c r="F4">
        <v>101</v>
      </c>
      <c r="G4">
        <v>5300</v>
      </c>
      <c r="H4">
        <v>530</v>
      </c>
      <c r="I4">
        <v>0.1</v>
      </c>
    </row>
    <row r="5" spans="1:9" x14ac:dyDescent="0.25">
      <c r="A5" t="s">
        <v>229</v>
      </c>
      <c r="B5" s="3">
        <v>45079</v>
      </c>
      <c r="C5" t="s">
        <v>185</v>
      </c>
      <c r="D5">
        <v>104</v>
      </c>
      <c r="E5">
        <v>103</v>
      </c>
      <c r="F5">
        <v>101</v>
      </c>
      <c r="G5">
        <v>5400</v>
      </c>
      <c r="H5">
        <v>540</v>
      </c>
      <c r="I5">
        <v>0.1</v>
      </c>
    </row>
    <row r="6" spans="1:9" x14ac:dyDescent="0.25">
      <c r="A6" t="s">
        <v>228</v>
      </c>
      <c r="B6" s="3">
        <v>45079</v>
      </c>
      <c r="C6" t="s">
        <v>180</v>
      </c>
      <c r="D6">
        <v>104</v>
      </c>
      <c r="E6">
        <v>103</v>
      </c>
      <c r="F6">
        <v>105</v>
      </c>
      <c r="G6">
        <v>4500</v>
      </c>
      <c r="H6">
        <v>960</v>
      </c>
      <c r="I6">
        <v>0.21333333333333335</v>
      </c>
    </row>
    <row r="7" spans="1:9" x14ac:dyDescent="0.25">
      <c r="A7" t="s">
        <v>227</v>
      </c>
      <c r="B7" s="3">
        <v>45079</v>
      </c>
      <c r="C7" t="s">
        <v>179</v>
      </c>
      <c r="D7">
        <v>104</v>
      </c>
      <c r="E7">
        <v>103</v>
      </c>
      <c r="F7">
        <v>105</v>
      </c>
      <c r="G7">
        <v>4625</v>
      </c>
      <c r="H7">
        <v>1001</v>
      </c>
      <c r="I7">
        <v>0.21643243243243243</v>
      </c>
    </row>
    <row r="8" spans="1:9" x14ac:dyDescent="0.25">
      <c r="A8" t="s">
        <v>226</v>
      </c>
      <c r="B8" s="3">
        <v>45079</v>
      </c>
      <c r="C8" t="s">
        <v>183</v>
      </c>
      <c r="D8">
        <v>104</v>
      </c>
      <c r="E8">
        <v>103</v>
      </c>
      <c r="F8">
        <v>105</v>
      </c>
      <c r="G8">
        <v>5500</v>
      </c>
      <c r="H8">
        <v>1320</v>
      </c>
      <c r="I8">
        <v>0.24</v>
      </c>
    </row>
    <row r="9" spans="1:9" x14ac:dyDescent="0.25">
      <c r="A9" t="s">
        <v>225</v>
      </c>
      <c r="B9" s="3">
        <v>45079</v>
      </c>
      <c r="C9" t="s">
        <v>177</v>
      </c>
      <c r="D9">
        <v>104</v>
      </c>
      <c r="E9">
        <v>103</v>
      </c>
      <c r="F9">
        <v>104</v>
      </c>
      <c r="G9">
        <v>7500</v>
      </c>
      <c r="H9">
        <v>1664</v>
      </c>
      <c r="I9">
        <v>0.22186666666666666</v>
      </c>
    </row>
    <row r="10" spans="1:9" x14ac:dyDescent="0.25">
      <c r="A10" t="s">
        <v>224</v>
      </c>
      <c r="B10" s="3">
        <v>45079</v>
      </c>
      <c r="C10" t="s">
        <v>175</v>
      </c>
      <c r="D10">
        <v>104</v>
      </c>
      <c r="E10">
        <v>103</v>
      </c>
      <c r="F10">
        <v>104</v>
      </c>
      <c r="G10">
        <v>6500</v>
      </c>
      <c r="H10">
        <v>1288</v>
      </c>
      <c r="I10">
        <v>0.19815384615384615</v>
      </c>
    </row>
    <row r="11" spans="1:9" x14ac:dyDescent="0.25">
      <c r="A11" t="s">
        <v>204</v>
      </c>
      <c r="B11" s="3">
        <v>45076</v>
      </c>
      <c r="C11" t="s">
        <v>189</v>
      </c>
      <c r="D11">
        <v>104</v>
      </c>
      <c r="E11">
        <v>103</v>
      </c>
      <c r="F11">
        <v>103</v>
      </c>
      <c r="G11">
        <v>3712.5</v>
      </c>
      <c r="H11">
        <v>1009</v>
      </c>
      <c r="I11">
        <v>0.2717845117845118</v>
      </c>
    </row>
    <row r="12" spans="1:9" x14ac:dyDescent="0.25">
      <c r="A12" t="s">
        <v>203</v>
      </c>
      <c r="B12" s="3">
        <v>45076</v>
      </c>
      <c r="C12" t="s">
        <v>191</v>
      </c>
      <c r="D12">
        <v>104</v>
      </c>
      <c r="E12">
        <v>103</v>
      </c>
      <c r="F12">
        <v>104</v>
      </c>
      <c r="G12">
        <v>3800</v>
      </c>
      <c r="H12">
        <v>1045</v>
      </c>
      <c r="I12">
        <v>0.27500000000000002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A3" sqref="A3"/>
    </sheetView>
  </sheetViews>
  <sheetFormatPr defaultRowHeight="15.75" x14ac:dyDescent="0.25"/>
  <cols>
    <col min="1" max="1" width="10.75" customWidth="1"/>
    <col min="2" max="2" width="13.25" customWidth="1"/>
    <col min="3" max="3" width="10.625" customWidth="1"/>
    <col min="4" max="4" width="12" customWidth="1"/>
    <col min="5" max="5" width="24" customWidth="1"/>
    <col min="6" max="6" width="13.25" customWidth="1"/>
    <col min="7" max="7" width="22.5" customWidth="1"/>
    <col min="8" max="8" width="6.875" customWidth="1"/>
    <col min="9" max="9" width="13.25" customWidth="1"/>
    <col min="10" max="10" width="12.375" customWidth="1"/>
    <col min="11" max="11" width="28.375" customWidth="1"/>
    <col min="12" max="12" width="28.375" bestFit="1" customWidth="1"/>
  </cols>
  <sheetData>
    <row r="1" spans="1:9" x14ac:dyDescent="0.25">
      <c r="A1" s="14" t="s">
        <v>238</v>
      </c>
      <c r="B1" s="14"/>
      <c r="C1" s="14" t="s">
        <v>233</v>
      </c>
      <c r="D1" s="14"/>
      <c r="E1" s="14" t="s">
        <v>235</v>
      </c>
      <c r="F1" s="14"/>
      <c r="G1" s="14" t="s">
        <v>237</v>
      </c>
    </row>
    <row r="2" spans="1:9" x14ac:dyDescent="0.25">
      <c r="A2" t="s">
        <v>232</v>
      </c>
      <c r="C2" t="s">
        <v>234</v>
      </c>
      <c r="E2" t="s">
        <v>236</v>
      </c>
      <c r="G2" t="s">
        <v>239</v>
      </c>
    </row>
    <row r="3" spans="1:9" x14ac:dyDescent="0.25">
      <c r="A3" s="13">
        <v>5250</v>
      </c>
      <c r="C3" s="13">
        <v>1349</v>
      </c>
      <c r="E3" s="13">
        <v>1349</v>
      </c>
      <c r="G3" s="12">
        <v>0.25695238095238093</v>
      </c>
    </row>
    <row r="5" spans="1:9" x14ac:dyDescent="0.25">
      <c r="A5" s="14" t="s">
        <v>250</v>
      </c>
      <c r="B5" s="17"/>
    </row>
    <row r="6" spans="1:9" x14ac:dyDescent="0.25">
      <c r="A6" s="15" t="s">
        <v>158</v>
      </c>
      <c r="B6" t="s">
        <v>251</v>
      </c>
    </row>
    <row r="7" spans="1:9" x14ac:dyDescent="0.25">
      <c r="A7" s="16" t="s">
        <v>166</v>
      </c>
      <c r="B7" s="13">
        <v>5250</v>
      </c>
    </row>
    <row r="12" spans="1:9" x14ac:dyDescent="0.25">
      <c r="H12" s="14" t="s">
        <v>259</v>
      </c>
    </row>
    <row r="13" spans="1:9" x14ac:dyDescent="0.25">
      <c r="A13" s="14" t="s">
        <v>253</v>
      </c>
      <c r="E13" s="14" t="s">
        <v>256</v>
      </c>
      <c r="H13" s="15" t="s">
        <v>0</v>
      </c>
      <c r="I13" t="s">
        <v>251</v>
      </c>
    </row>
    <row r="14" spans="1:9" x14ac:dyDescent="0.25">
      <c r="A14" s="15" t="s">
        <v>158</v>
      </c>
      <c r="B14" t="s">
        <v>251</v>
      </c>
      <c r="C14" t="s">
        <v>252</v>
      </c>
      <c r="E14" s="15" t="s">
        <v>5</v>
      </c>
      <c r="F14" t="s">
        <v>251</v>
      </c>
      <c r="H14" s="16" t="s">
        <v>254</v>
      </c>
      <c r="I14" s="13">
        <v>56234.574910820455</v>
      </c>
    </row>
    <row r="15" spans="1:9" x14ac:dyDescent="0.25">
      <c r="A15" s="16" t="s">
        <v>166</v>
      </c>
      <c r="B15" s="13">
        <v>5250</v>
      </c>
      <c r="C15" s="13">
        <v>1349</v>
      </c>
      <c r="E15" s="16" t="s">
        <v>260</v>
      </c>
      <c r="F15" s="13">
        <v>5250</v>
      </c>
      <c r="H15" s="16" t="s">
        <v>255</v>
      </c>
      <c r="I15" s="13">
        <v>79996.357669441146</v>
      </c>
    </row>
    <row r="30" spans="6:6" x14ac:dyDescent="0.25">
      <c r="F30" t="s">
        <v>262</v>
      </c>
    </row>
  </sheetData>
  <conditionalFormatting pivot="1" sqref="B7">
    <cfRule type="dataBar" priority="6">
      <dataBar>
        <cfvo type="min"/>
        <cfvo type="max"/>
        <color rgb="FFD6007B"/>
      </dataBar>
      <extLst>
        <ext xmlns:x14="http://schemas.microsoft.com/office/spreadsheetml/2009/9/main" uri="{B025F937-C7B1-47D3-B67F-A62EFF666E3E}">
          <x14:id>{F0D33D23-608E-49B9-A2D8-16FFA223297D}</x14:id>
        </ext>
      </extLst>
    </cfRule>
  </conditionalFormatting>
  <conditionalFormatting pivot="1" sqref="F15">
    <cfRule type="dataBar" priority="4">
      <dataBar>
        <cfvo type="min"/>
        <cfvo type="max"/>
        <color rgb="FFD6007B"/>
      </dataBar>
      <extLst>
        <ext xmlns:x14="http://schemas.microsoft.com/office/spreadsheetml/2009/9/main" uri="{B025F937-C7B1-47D3-B67F-A62EFF666E3E}">
          <x14:id>{9C1E79E6-A957-42A0-B457-EF03379C656D}</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pivot="1">
          <x14:cfRule type="dataBar" id="{F0D33D23-608E-49B9-A2D8-16FFA223297D}">
            <x14:dataBar minLength="0" maxLength="100" border="1" negativeBarBorderColorSameAsPositive="0">
              <x14:cfvo type="autoMin"/>
              <x14:cfvo type="autoMax"/>
              <x14:borderColor rgb="FFD6007B"/>
              <x14:negativeFillColor rgb="FFFF0000"/>
              <x14:negativeBorderColor rgb="FFFF0000"/>
              <x14:axisColor rgb="FF000000"/>
            </x14:dataBar>
          </x14:cfRule>
          <xm:sqref>B7</xm:sqref>
        </x14:conditionalFormatting>
        <x14:conditionalFormatting xmlns:xm="http://schemas.microsoft.com/office/excel/2006/main" pivot="1">
          <x14:cfRule type="dataBar" id="{9C1E79E6-A957-42A0-B457-EF03379C656D}">
            <x14:dataBar minLength="0" maxLength="100" border="1" negativeBarBorderColorSameAsPositive="0">
              <x14:cfvo type="autoMin"/>
              <x14:cfvo type="autoMax"/>
              <x14:borderColor rgb="FFD6007B"/>
              <x14:negativeFillColor rgb="FFFF0000"/>
              <x14:negativeBorderColor rgb="FFFF0000"/>
              <x14:axisColor rgb="FF000000"/>
            </x14:dataBar>
          </x14:cfRule>
          <xm:sqref>F15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
  <sheetViews>
    <sheetView tabSelected="1" workbookViewId="0">
      <selection activeCell="G2" sqref="G2"/>
    </sheetView>
  </sheetViews>
  <sheetFormatPr defaultRowHeight="15.75" x14ac:dyDescent="0.25"/>
  <cols>
    <col min="3" max="3" width="5.375" customWidth="1"/>
    <col min="6" max="6" width="12" bestFit="1" customWidth="1"/>
    <col min="7" max="7" width="10.25" bestFit="1" customWidth="1"/>
    <col min="11" max="11" width="11.25" bestFit="1" customWidth="1"/>
    <col min="15" max="15" width="10" bestFit="1" customWidth="1"/>
  </cols>
  <sheetData>
    <row r="1" spans="1:26" x14ac:dyDescent="0.25">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ht="36" x14ac:dyDescent="0.55000000000000004">
      <c r="A2" s="18"/>
      <c r="B2" s="18"/>
      <c r="C2" s="18"/>
      <c r="D2" s="18"/>
      <c r="E2" s="18"/>
      <c r="F2" s="18"/>
      <c r="G2" s="18"/>
      <c r="H2" s="18"/>
      <c r="I2" s="19" t="s">
        <v>257</v>
      </c>
      <c r="J2" s="19"/>
      <c r="K2" s="19"/>
      <c r="L2" s="18"/>
      <c r="M2" s="18"/>
      <c r="N2" s="18"/>
      <c r="O2" s="18"/>
      <c r="P2" s="18"/>
      <c r="Q2" s="18"/>
      <c r="R2" s="18"/>
      <c r="S2" s="18"/>
      <c r="T2" s="18"/>
      <c r="U2" s="18"/>
      <c r="V2" s="18"/>
      <c r="W2" s="18"/>
      <c r="X2" s="18"/>
      <c r="Y2" s="18"/>
      <c r="Z2" s="18"/>
    </row>
    <row r="3" spans="1:26" x14ac:dyDescent="0.25">
      <c r="A3" s="18"/>
      <c r="B3" s="18"/>
      <c r="C3" s="18"/>
      <c r="D3" s="18"/>
      <c r="E3" s="18"/>
      <c r="F3" s="18"/>
      <c r="G3" s="18"/>
      <c r="H3" s="18"/>
      <c r="I3" s="18"/>
      <c r="J3" s="18"/>
      <c r="K3" s="18"/>
      <c r="L3" s="18"/>
      <c r="M3" s="18"/>
      <c r="N3" s="18"/>
      <c r="O3" s="18"/>
      <c r="P3" s="18"/>
      <c r="Q3" s="18"/>
      <c r="R3" s="18"/>
      <c r="S3" s="18"/>
      <c r="T3" s="18"/>
      <c r="U3" s="18"/>
      <c r="V3" s="18"/>
      <c r="W3" s="18"/>
      <c r="X3" s="18"/>
      <c r="Y3" s="18"/>
      <c r="Z3" s="18"/>
    </row>
    <row r="4" spans="1:26" x14ac:dyDescent="0.25">
      <c r="A4" s="18"/>
      <c r="B4" s="18"/>
      <c r="C4" s="18"/>
      <c r="D4" s="20"/>
      <c r="E4" s="20"/>
      <c r="F4" s="20"/>
      <c r="G4" s="20"/>
      <c r="H4" s="20"/>
      <c r="I4" s="20"/>
      <c r="J4" s="20"/>
      <c r="K4" s="20"/>
      <c r="L4" s="20"/>
      <c r="M4" s="20"/>
      <c r="N4" s="20"/>
      <c r="O4" s="20"/>
      <c r="P4" s="20"/>
      <c r="Q4" s="20"/>
      <c r="R4" s="20"/>
      <c r="S4" s="20"/>
      <c r="T4" s="20"/>
      <c r="U4" s="20"/>
      <c r="V4" s="20"/>
      <c r="W4" s="20"/>
      <c r="X4" s="20"/>
      <c r="Y4" s="20"/>
      <c r="Z4" s="20"/>
    </row>
    <row r="5" spans="1:26" x14ac:dyDescent="0.25">
      <c r="A5" s="18"/>
      <c r="B5" s="18"/>
      <c r="C5" s="18"/>
      <c r="D5" s="20"/>
      <c r="E5" s="20"/>
      <c r="F5" s="20"/>
      <c r="G5" s="20"/>
      <c r="H5" s="20"/>
      <c r="I5" s="20"/>
      <c r="J5" s="20"/>
      <c r="K5" s="20"/>
      <c r="L5" s="20"/>
      <c r="M5" s="20"/>
      <c r="N5" s="20"/>
      <c r="O5" s="20"/>
      <c r="P5" s="20"/>
      <c r="Q5" s="20"/>
      <c r="R5" s="20"/>
      <c r="S5" s="20"/>
      <c r="T5" s="20"/>
      <c r="U5" s="20"/>
      <c r="V5" s="20"/>
      <c r="W5" s="20"/>
      <c r="X5" s="20"/>
      <c r="Y5" s="20"/>
      <c r="Z5" s="20"/>
    </row>
    <row r="6" spans="1:26" x14ac:dyDescent="0.25">
      <c r="A6" s="18"/>
      <c r="B6" s="18"/>
      <c r="C6" s="18"/>
      <c r="D6" s="20"/>
      <c r="E6" s="20"/>
      <c r="F6" s="20"/>
      <c r="G6" s="20"/>
      <c r="H6" s="20"/>
      <c r="I6" s="20"/>
      <c r="J6" s="20"/>
      <c r="K6" s="23">
        <f>GETPIVOTDATA("[Measures].[Sum of Profit]",Sheet1!$C$2)</f>
        <v>1349</v>
      </c>
      <c r="L6" s="20"/>
      <c r="M6" s="20"/>
      <c r="N6" s="20"/>
      <c r="O6" s="20"/>
      <c r="P6" s="20"/>
      <c r="Q6" s="20"/>
      <c r="R6" s="20"/>
      <c r="S6" s="24">
        <f>GETPIVOTDATA("[Measures].[Average of Profit Margin]",Sheet1!$G$2)</f>
        <v>0.25695238095238093</v>
      </c>
      <c r="T6" s="20"/>
      <c r="U6" s="20"/>
      <c r="V6" s="20"/>
      <c r="W6" s="20"/>
      <c r="X6" s="20"/>
      <c r="Y6" s="20"/>
      <c r="Z6" s="20"/>
    </row>
    <row r="7" spans="1:26" x14ac:dyDescent="0.25">
      <c r="A7" s="18"/>
      <c r="B7" s="18"/>
      <c r="C7" s="18"/>
      <c r="D7" s="20"/>
      <c r="E7" s="20"/>
      <c r="F7" s="22"/>
      <c r="G7" s="23">
        <f>GETPIVOTDATA("[Measures].[Sum of Revenue]",Sheet1!$A$2)</f>
        <v>5250</v>
      </c>
      <c r="H7" s="20"/>
      <c r="I7" s="20"/>
      <c r="J7" s="20"/>
      <c r="K7" s="20"/>
      <c r="L7" s="20"/>
      <c r="M7" s="20"/>
      <c r="N7" s="20"/>
      <c r="O7" s="21">
        <f>GETPIVOTDATA("[Measures].[Average of Profit]",Sheet1!$E$2)</f>
        <v>1349</v>
      </c>
      <c r="P7" s="20"/>
      <c r="Q7" s="20"/>
      <c r="R7" s="20"/>
      <c r="S7" s="20"/>
      <c r="T7" s="20"/>
      <c r="U7" s="20"/>
      <c r="V7" s="20"/>
      <c r="W7" s="20"/>
      <c r="X7" s="20"/>
      <c r="Y7" s="20"/>
      <c r="Z7" s="20"/>
    </row>
    <row r="8" spans="1:26" x14ac:dyDescent="0.25">
      <c r="A8" s="18"/>
      <c r="B8" s="18"/>
      <c r="C8" s="18"/>
      <c r="D8" s="20"/>
      <c r="E8" s="20"/>
      <c r="F8" s="20"/>
      <c r="G8" s="20"/>
      <c r="H8" s="20"/>
      <c r="I8" s="20"/>
      <c r="J8" s="20"/>
      <c r="K8" s="20"/>
      <c r="L8" s="20"/>
      <c r="M8" s="20"/>
      <c r="N8" s="20"/>
      <c r="O8" s="20"/>
      <c r="P8" s="20"/>
      <c r="Q8" s="20"/>
      <c r="R8" s="20"/>
      <c r="S8" s="20"/>
      <c r="T8" s="20"/>
      <c r="U8" s="20"/>
      <c r="V8" s="20"/>
      <c r="W8" s="20"/>
      <c r="X8" s="20"/>
      <c r="Y8" s="20"/>
      <c r="Z8" s="20"/>
    </row>
    <row r="9" spans="1:26" x14ac:dyDescent="0.25">
      <c r="A9" s="18"/>
      <c r="B9" s="18"/>
      <c r="C9" s="18"/>
      <c r="D9" s="20"/>
      <c r="E9" s="20"/>
      <c r="F9" s="20"/>
      <c r="G9" s="20"/>
      <c r="H9" s="20"/>
      <c r="I9" s="20"/>
      <c r="J9" s="20"/>
      <c r="K9" s="20"/>
      <c r="L9" s="20"/>
      <c r="M9" s="20"/>
      <c r="N9" s="20"/>
      <c r="O9" s="20"/>
      <c r="P9" s="20"/>
      <c r="Q9" s="20"/>
      <c r="R9" s="20"/>
      <c r="S9" s="20"/>
      <c r="T9" s="20"/>
      <c r="U9" s="20"/>
      <c r="V9" s="20"/>
      <c r="W9" s="20"/>
      <c r="X9" s="20"/>
      <c r="Y9" s="20"/>
      <c r="Z9" s="20"/>
    </row>
    <row r="10" spans="1:26" x14ac:dyDescent="0.25">
      <c r="A10" s="18"/>
      <c r="B10" s="18"/>
      <c r="C10" s="18"/>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25">
      <c r="A11" s="18"/>
      <c r="B11" s="18"/>
      <c r="C11" s="18"/>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25">
      <c r="A12" s="18"/>
      <c r="B12" s="18"/>
      <c r="C12" s="18"/>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25">
      <c r="A13" s="18"/>
      <c r="B13" s="18"/>
      <c r="C13" s="18"/>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25">
      <c r="A14" s="18"/>
      <c r="B14" s="18"/>
      <c r="C14" s="18"/>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25">
      <c r="A15" s="18"/>
      <c r="B15" s="18"/>
      <c r="C15" s="18"/>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25">
      <c r="A16" s="18"/>
      <c r="B16" s="18"/>
      <c r="C16" s="18"/>
      <c r="D16" s="20"/>
      <c r="E16" s="20"/>
      <c r="F16" s="20"/>
      <c r="G16" s="20"/>
      <c r="H16" s="20"/>
      <c r="I16" s="20"/>
      <c r="J16" s="20"/>
      <c r="K16" s="20"/>
      <c r="L16" s="20"/>
      <c r="M16" s="20"/>
      <c r="N16" s="20"/>
      <c r="O16" s="20"/>
      <c r="P16" s="20"/>
      <c r="Q16" s="20"/>
      <c r="R16" s="20"/>
      <c r="S16" s="20"/>
      <c r="T16" s="20"/>
      <c r="U16" s="20"/>
      <c r="V16" s="20"/>
      <c r="W16" s="20"/>
      <c r="X16" s="20"/>
      <c r="Y16" s="20"/>
      <c r="Z16" s="20"/>
    </row>
    <row r="17" spans="1:26" x14ac:dyDescent="0.25">
      <c r="A17" s="18"/>
      <c r="B17" s="18"/>
      <c r="C17" s="18"/>
      <c r="D17" s="20"/>
      <c r="E17" s="20"/>
      <c r="F17" s="20"/>
      <c r="G17" s="20"/>
      <c r="H17" s="20"/>
      <c r="I17" s="20"/>
      <c r="J17" s="20"/>
      <c r="K17" s="20"/>
      <c r="L17" s="20"/>
      <c r="M17" s="20"/>
      <c r="N17" s="20"/>
      <c r="O17" s="20"/>
      <c r="P17" s="20"/>
      <c r="Q17" s="20"/>
      <c r="R17" s="20"/>
      <c r="S17" s="20"/>
      <c r="T17" s="20"/>
      <c r="U17" s="20"/>
      <c r="V17" s="20"/>
      <c r="W17" s="20"/>
      <c r="X17" s="20"/>
      <c r="Y17" s="20"/>
      <c r="Z17" s="20"/>
    </row>
    <row r="18" spans="1:26" x14ac:dyDescent="0.25">
      <c r="A18" s="18"/>
      <c r="B18" s="18"/>
      <c r="C18" s="18"/>
      <c r="D18" s="20"/>
      <c r="E18" s="20"/>
      <c r="F18" s="20"/>
      <c r="G18" s="20"/>
      <c r="H18" s="20"/>
      <c r="I18" s="20"/>
      <c r="J18" s="20"/>
      <c r="K18" s="20"/>
      <c r="L18" s="20"/>
      <c r="M18" s="20"/>
      <c r="N18" s="20"/>
      <c r="O18" s="20"/>
      <c r="P18" s="20"/>
      <c r="Q18" s="20"/>
      <c r="R18" s="20"/>
      <c r="S18" s="20"/>
      <c r="T18" s="20"/>
      <c r="U18" s="20"/>
      <c r="V18" s="20"/>
      <c r="W18" s="20"/>
      <c r="X18" s="20"/>
      <c r="Y18" s="20"/>
      <c r="Z18" s="20"/>
    </row>
    <row r="19" spans="1:26" x14ac:dyDescent="0.25">
      <c r="A19" s="18"/>
      <c r="B19" s="18"/>
      <c r="C19" s="18"/>
      <c r="D19" s="20"/>
      <c r="E19" s="20"/>
      <c r="F19" s="20"/>
      <c r="G19" s="20"/>
      <c r="H19" s="20"/>
      <c r="I19" s="20"/>
      <c r="J19" s="20"/>
      <c r="K19" s="20"/>
      <c r="L19" s="20"/>
      <c r="M19" s="20"/>
      <c r="N19" s="20"/>
      <c r="O19" s="20"/>
      <c r="P19" s="20"/>
      <c r="Q19" s="20"/>
      <c r="R19" s="20"/>
      <c r="S19" s="20"/>
      <c r="T19" s="20"/>
      <c r="U19" s="20"/>
      <c r="V19" s="20"/>
      <c r="W19" s="20"/>
      <c r="X19" s="20"/>
      <c r="Y19" s="20"/>
      <c r="Z19" s="20"/>
    </row>
    <row r="20" spans="1:26" x14ac:dyDescent="0.25">
      <c r="A20" s="18"/>
      <c r="B20" s="18"/>
      <c r="C20" s="18"/>
      <c r="D20" s="20"/>
      <c r="E20" s="20"/>
      <c r="F20" s="20"/>
      <c r="G20" s="20"/>
      <c r="H20" s="20"/>
      <c r="I20" s="20"/>
      <c r="J20" s="20"/>
      <c r="K20" s="20"/>
      <c r="L20" s="20"/>
      <c r="M20" s="20"/>
      <c r="N20" s="20"/>
      <c r="O20" s="20"/>
      <c r="P20" s="20"/>
      <c r="Q20" s="20"/>
      <c r="R20" s="20"/>
      <c r="S20" s="20"/>
      <c r="T20" s="20"/>
      <c r="U20" s="20"/>
      <c r="V20" s="20"/>
      <c r="W20" s="20"/>
      <c r="X20" s="20"/>
      <c r="Y20" s="20"/>
      <c r="Z20" s="20"/>
    </row>
    <row r="21" spans="1:26" x14ac:dyDescent="0.25">
      <c r="A21" s="18"/>
      <c r="B21" s="18"/>
      <c r="C21" s="18"/>
      <c r="D21" s="20"/>
      <c r="E21" s="20"/>
      <c r="F21" s="20"/>
      <c r="G21" s="20"/>
      <c r="H21" s="20"/>
      <c r="I21" s="20"/>
      <c r="J21" s="20"/>
      <c r="K21" s="20"/>
      <c r="L21" s="20"/>
      <c r="M21" s="20"/>
      <c r="N21" s="20"/>
      <c r="O21" s="20"/>
      <c r="P21" s="20"/>
      <c r="Q21" s="20"/>
      <c r="R21" s="20"/>
      <c r="S21" s="20"/>
      <c r="T21" s="20"/>
      <c r="U21" s="20"/>
      <c r="V21" s="20"/>
      <c r="W21" s="20"/>
      <c r="X21" s="20"/>
      <c r="Y21" s="20"/>
      <c r="Z21" s="20"/>
    </row>
    <row r="22" spans="1:26" x14ac:dyDescent="0.25">
      <c r="A22" s="18"/>
      <c r="B22" s="18"/>
      <c r="C22" s="18"/>
      <c r="D22" s="20"/>
      <c r="E22" s="20"/>
      <c r="F22" s="20"/>
      <c r="G22" s="20"/>
      <c r="H22" s="20"/>
      <c r="I22" s="20"/>
      <c r="J22" s="20"/>
      <c r="K22" s="20"/>
      <c r="L22" s="20"/>
      <c r="M22" s="20"/>
      <c r="N22" s="20"/>
      <c r="O22" s="20"/>
      <c r="P22" s="20"/>
      <c r="Q22" s="20"/>
      <c r="R22" s="20"/>
      <c r="S22" s="20"/>
      <c r="T22" s="20"/>
      <c r="U22" s="20"/>
      <c r="V22" s="20"/>
      <c r="W22" s="20"/>
      <c r="X22" s="20"/>
      <c r="Y22" s="20"/>
      <c r="Z22" s="20"/>
    </row>
    <row r="23" spans="1:26" x14ac:dyDescent="0.25">
      <c r="A23" s="18"/>
      <c r="B23" s="18"/>
      <c r="C23" s="18"/>
      <c r="D23" s="20"/>
      <c r="E23" s="20"/>
      <c r="F23" s="20"/>
      <c r="G23" s="20"/>
      <c r="H23" s="20"/>
      <c r="I23" s="20"/>
      <c r="J23" s="20"/>
      <c r="K23" s="20"/>
      <c r="L23" s="20"/>
      <c r="M23" s="20"/>
      <c r="N23" s="20"/>
      <c r="O23" s="20"/>
      <c r="P23" s="20"/>
      <c r="Q23" s="20"/>
      <c r="R23" s="20"/>
      <c r="S23" s="20"/>
      <c r="T23" s="20"/>
      <c r="U23" s="20"/>
      <c r="V23" s="20"/>
      <c r="W23" s="20"/>
      <c r="X23" s="20"/>
      <c r="Y23" s="20"/>
      <c r="Z23" s="20"/>
    </row>
    <row r="24" spans="1:26" x14ac:dyDescent="0.25">
      <c r="A24" s="18"/>
      <c r="B24" s="18"/>
      <c r="C24" s="18"/>
      <c r="D24" s="20"/>
      <c r="E24" s="20"/>
      <c r="F24" s="20"/>
      <c r="G24" s="20"/>
      <c r="H24" s="20"/>
      <c r="I24" s="20"/>
      <c r="J24" s="20"/>
      <c r="K24" s="20"/>
      <c r="L24" s="20"/>
      <c r="M24" s="20"/>
      <c r="N24" s="20"/>
      <c r="O24" s="20"/>
      <c r="P24" s="20"/>
      <c r="Q24" s="20"/>
      <c r="R24" s="20"/>
      <c r="S24" s="20"/>
      <c r="T24" s="20"/>
      <c r="U24" s="20"/>
      <c r="V24" s="20"/>
      <c r="W24" s="20"/>
      <c r="X24" s="20"/>
      <c r="Y24" s="20"/>
      <c r="Z24" s="20"/>
    </row>
    <row r="25" spans="1:26" x14ac:dyDescent="0.25">
      <c r="A25" s="18"/>
      <c r="B25" s="18"/>
      <c r="C25" s="18"/>
      <c r="D25" s="20"/>
      <c r="E25" s="20"/>
      <c r="F25" s="20"/>
      <c r="G25" s="20"/>
      <c r="H25" s="20"/>
      <c r="I25" s="20"/>
      <c r="J25" s="20"/>
      <c r="K25" s="20"/>
      <c r="L25" s="20"/>
      <c r="M25" s="20"/>
      <c r="N25" s="20"/>
      <c r="O25" s="20"/>
      <c r="P25" s="20"/>
      <c r="Q25" s="20"/>
      <c r="R25" s="20"/>
      <c r="S25" s="20"/>
      <c r="T25" s="20"/>
      <c r="U25" s="20"/>
      <c r="V25" s="20"/>
      <c r="W25" s="20"/>
      <c r="X25" s="20"/>
      <c r="Y25" s="20"/>
      <c r="Z25" s="20"/>
    </row>
    <row r="26" spans="1:26" x14ac:dyDescent="0.25">
      <c r="A26" s="18"/>
      <c r="B26" s="18"/>
      <c r="C26" s="18"/>
      <c r="D26" s="20"/>
      <c r="E26" s="20"/>
      <c r="F26" s="20"/>
      <c r="G26" s="20"/>
      <c r="H26" s="20"/>
      <c r="I26" s="20"/>
      <c r="J26" s="20"/>
      <c r="K26" s="20"/>
      <c r="L26" s="20"/>
      <c r="M26" s="20"/>
      <c r="N26" s="20"/>
      <c r="O26" s="20"/>
      <c r="P26" s="20"/>
      <c r="Q26" s="20"/>
      <c r="R26" s="20"/>
      <c r="S26" s="20"/>
      <c r="T26" s="20"/>
      <c r="U26" s="20"/>
      <c r="V26" s="20"/>
      <c r="W26" s="20"/>
      <c r="X26" s="20"/>
      <c r="Y26" s="20"/>
      <c r="Z26" s="20"/>
    </row>
    <row r="27" spans="1:26" x14ac:dyDescent="0.25">
      <c r="A27" s="18"/>
      <c r="B27" s="18"/>
      <c r="C27" s="18"/>
      <c r="D27" s="20"/>
      <c r="E27" s="20"/>
      <c r="F27" s="20"/>
      <c r="G27" s="20"/>
      <c r="H27" s="20"/>
      <c r="I27" s="20"/>
      <c r="J27" s="20"/>
      <c r="K27" s="20"/>
      <c r="L27" s="20"/>
      <c r="M27" s="20"/>
      <c r="N27" s="20"/>
      <c r="O27" s="20"/>
      <c r="P27" s="20"/>
      <c r="Q27" s="20"/>
      <c r="R27" s="20"/>
      <c r="S27" s="20"/>
      <c r="T27" s="20"/>
      <c r="U27" s="20"/>
      <c r="V27" s="20"/>
      <c r="W27" s="20"/>
      <c r="X27" s="20"/>
      <c r="Y27" s="20"/>
      <c r="Z27" s="20"/>
    </row>
    <row r="28" spans="1:26" x14ac:dyDescent="0.25">
      <c r="A28" s="18"/>
      <c r="B28" s="18"/>
      <c r="C28" s="18"/>
      <c r="D28" s="20"/>
      <c r="E28" s="20"/>
      <c r="F28" s="20"/>
      <c r="G28" s="20"/>
      <c r="H28" s="20"/>
      <c r="I28" s="20"/>
      <c r="J28" s="20"/>
      <c r="K28" s="20"/>
      <c r="L28" s="20"/>
      <c r="M28" s="20"/>
      <c r="N28" s="20"/>
      <c r="O28" s="20"/>
      <c r="P28" s="20"/>
      <c r="Q28" s="20"/>
      <c r="R28" s="20"/>
      <c r="S28" s="20"/>
      <c r="T28" s="20"/>
      <c r="U28" s="20"/>
      <c r="V28" s="20"/>
      <c r="W28" s="20"/>
      <c r="X28" s="20"/>
      <c r="Y28" s="20"/>
      <c r="Z28" s="20"/>
    </row>
    <row r="29" spans="1:26" x14ac:dyDescent="0.25">
      <c r="A29" s="18"/>
      <c r="B29" s="18"/>
      <c r="C29" s="18"/>
      <c r="D29" s="20"/>
      <c r="E29" s="20"/>
      <c r="F29" s="20"/>
      <c r="G29" s="20"/>
      <c r="H29" s="20"/>
      <c r="I29" s="20"/>
      <c r="J29" s="20"/>
      <c r="K29" s="20"/>
      <c r="L29" s="20"/>
      <c r="M29" s="20"/>
      <c r="N29" s="20"/>
      <c r="O29" s="20"/>
      <c r="P29" s="20"/>
      <c r="Q29" s="20"/>
      <c r="R29" s="20"/>
      <c r="S29" s="20"/>
      <c r="T29" s="20"/>
      <c r="U29" s="20"/>
      <c r="V29" s="20"/>
      <c r="W29" s="20"/>
      <c r="X29" s="20"/>
      <c r="Y29" s="20"/>
      <c r="Z29" s="20"/>
    </row>
    <row r="30" spans="1:26" x14ac:dyDescent="0.25">
      <c r="A30" s="18"/>
      <c r="B30" s="18"/>
      <c r="C30" s="18"/>
      <c r="D30" s="20"/>
      <c r="E30" s="20"/>
      <c r="F30" s="20"/>
      <c r="G30" s="20"/>
      <c r="H30" s="20"/>
      <c r="I30" s="20"/>
      <c r="J30" s="20"/>
      <c r="K30" s="20"/>
      <c r="L30" s="20"/>
      <c r="M30" s="20"/>
      <c r="N30" s="20"/>
      <c r="O30" s="20"/>
      <c r="P30" s="20"/>
      <c r="Q30" s="20"/>
      <c r="R30" s="20"/>
      <c r="S30" s="20"/>
      <c r="T30" s="20"/>
      <c r="U30" s="20"/>
      <c r="V30" s="20"/>
      <c r="W30" s="20"/>
      <c r="X30" s="20"/>
      <c r="Y30" s="20"/>
      <c r="Z30" s="20"/>
    </row>
    <row r="31" spans="1:26" x14ac:dyDescent="0.25">
      <c r="A31" s="18"/>
      <c r="B31" s="18"/>
      <c r="C31" s="18"/>
      <c r="D31" s="20"/>
      <c r="E31" s="20"/>
      <c r="F31" s="20"/>
      <c r="G31" s="20"/>
      <c r="H31" s="20"/>
      <c r="I31" s="20"/>
      <c r="J31" s="20"/>
      <c r="K31" s="20"/>
      <c r="L31" s="20"/>
      <c r="M31" s="20"/>
      <c r="N31" s="20"/>
      <c r="O31" s="20"/>
      <c r="P31" s="20"/>
      <c r="Q31" s="20"/>
      <c r="R31" s="20"/>
      <c r="S31" s="20"/>
      <c r="T31" s="20"/>
      <c r="U31" s="20"/>
      <c r="V31" s="20"/>
      <c r="W31" s="20"/>
      <c r="X31" s="20"/>
      <c r="Y31" s="20"/>
      <c r="Z31" s="20"/>
    </row>
    <row r="32" spans="1:26" x14ac:dyDescent="0.25">
      <c r="A32" s="18"/>
      <c r="B32" s="18"/>
      <c r="C32" s="18"/>
      <c r="D32" s="20"/>
      <c r="E32" s="20"/>
      <c r="F32" s="20"/>
      <c r="G32" s="20"/>
      <c r="H32" s="20"/>
      <c r="I32" s="20"/>
      <c r="J32" s="20"/>
      <c r="K32" s="20"/>
      <c r="L32" s="20"/>
      <c r="M32" s="20"/>
      <c r="N32" s="20"/>
      <c r="O32" s="20"/>
      <c r="P32" s="20"/>
      <c r="Q32" s="20"/>
      <c r="R32" s="20"/>
      <c r="S32" s="20"/>
      <c r="T32" s="20"/>
      <c r="U32" s="20"/>
      <c r="V32" s="20"/>
      <c r="W32" s="20"/>
      <c r="X32" s="20"/>
      <c r="Y32" s="20"/>
      <c r="Z32" s="20"/>
    </row>
    <row r="33" spans="1:26" x14ac:dyDescent="0.25">
      <c r="A33" s="18"/>
      <c r="B33" s="18"/>
      <c r="C33" s="18"/>
      <c r="D33" s="20"/>
      <c r="E33" s="20"/>
      <c r="F33" s="20"/>
      <c r="G33" s="20"/>
      <c r="H33" s="20"/>
      <c r="I33" s="20"/>
      <c r="J33" s="20"/>
      <c r="K33" s="20"/>
      <c r="L33" s="20"/>
      <c r="M33" s="20"/>
      <c r="N33" s="20"/>
      <c r="O33" s="20"/>
      <c r="P33" s="20"/>
      <c r="Q33" s="20"/>
      <c r="R33" s="20"/>
      <c r="S33" s="20"/>
      <c r="T33" s="20"/>
      <c r="U33" s="20"/>
      <c r="V33" s="20"/>
      <c r="W33" s="20"/>
      <c r="X33" s="20"/>
      <c r="Y33" s="20"/>
      <c r="Z33" s="20"/>
    </row>
    <row r="34" spans="1:26" x14ac:dyDescent="0.25">
      <c r="A34" s="18"/>
      <c r="B34" s="18"/>
      <c r="C34" s="18"/>
      <c r="D34" s="20"/>
      <c r="E34" s="20"/>
      <c r="F34" s="20"/>
      <c r="G34" s="20"/>
      <c r="H34" s="20"/>
      <c r="I34" s="20"/>
      <c r="J34" s="20"/>
      <c r="K34" s="20"/>
      <c r="L34" s="20"/>
      <c r="M34" s="20"/>
      <c r="N34" s="20"/>
      <c r="O34" s="20"/>
      <c r="P34" s="20"/>
      <c r="Q34" s="20"/>
      <c r="R34" s="20"/>
      <c r="S34" s="20"/>
      <c r="T34" s="20"/>
      <c r="U34" s="20"/>
      <c r="V34" s="20"/>
      <c r="W34" s="20"/>
      <c r="X34" s="20"/>
      <c r="Y34" s="20"/>
      <c r="Z34" s="20"/>
    </row>
    <row r="35" spans="1:26" x14ac:dyDescent="0.25">
      <c r="A35" s="18"/>
      <c r="B35" s="18"/>
      <c r="C35" s="18"/>
      <c r="D35" s="20"/>
      <c r="E35" s="20"/>
      <c r="F35" s="20"/>
      <c r="G35" s="20"/>
      <c r="H35" s="20"/>
      <c r="I35" s="20"/>
      <c r="J35" s="20"/>
      <c r="K35" s="20"/>
      <c r="L35" s="20"/>
      <c r="M35" s="20"/>
      <c r="N35" s="20"/>
      <c r="O35" s="20"/>
      <c r="P35" s="20"/>
      <c r="Q35" s="20"/>
      <c r="R35" s="20"/>
      <c r="S35" s="20"/>
      <c r="T35" s="20"/>
      <c r="U35" s="20"/>
      <c r="V35" s="20"/>
      <c r="W35" s="20"/>
      <c r="X35" s="20"/>
      <c r="Y35" s="20"/>
      <c r="Z35" s="20"/>
    </row>
    <row r="36" spans="1:26" x14ac:dyDescent="0.25">
      <c r="A36" s="18"/>
      <c r="B36" s="18"/>
      <c r="C36" s="18"/>
      <c r="D36" s="20"/>
      <c r="E36" s="20"/>
      <c r="F36" s="20"/>
      <c r="G36" s="20"/>
      <c r="H36" s="20"/>
      <c r="I36" s="20"/>
      <c r="J36" s="20"/>
      <c r="K36" s="20"/>
      <c r="L36" s="20"/>
      <c r="M36" s="20"/>
      <c r="N36" s="20"/>
      <c r="O36" s="20"/>
      <c r="P36" s="20"/>
      <c r="Q36" s="20"/>
      <c r="R36" s="20"/>
      <c r="S36" s="20"/>
      <c r="T36" s="20"/>
      <c r="U36" s="20"/>
      <c r="V36" s="20"/>
      <c r="W36" s="20"/>
      <c r="X36" s="20"/>
      <c r="Y36" s="20"/>
      <c r="Z36" s="20"/>
    </row>
    <row r="37" spans="1:26" x14ac:dyDescent="0.25">
      <c r="A37" s="18"/>
      <c r="B37" s="18"/>
      <c r="C37" s="18"/>
      <c r="D37" s="20"/>
      <c r="E37" s="20"/>
      <c r="F37" s="20"/>
      <c r="G37" s="20"/>
      <c r="H37" s="20"/>
      <c r="I37" s="20"/>
      <c r="J37" s="20"/>
      <c r="K37" s="20"/>
      <c r="L37" s="20"/>
      <c r="M37" s="20"/>
      <c r="N37" s="20"/>
      <c r="O37" s="20"/>
      <c r="P37" s="20"/>
      <c r="Q37" s="20"/>
      <c r="R37" s="20"/>
      <c r="S37" s="20"/>
      <c r="T37" s="20"/>
      <c r="U37" s="20"/>
      <c r="V37" s="20"/>
      <c r="W37" s="20"/>
      <c r="X37" s="20"/>
      <c r="Y37" s="20"/>
      <c r="Z37" s="20"/>
    </row>
    <row r="38" spans="1:26" x14ac:dyDescent="0.25">
      <c r="A38" s="18"/>
      <c r="B38" s="18"/>
      <c r="C38" s="18"/>
      <c r="D38" s="20"/>
      <c r="E38" s="20"/>
      <c r="F38" s="20"/>
      <c r="G38" s="20"/>
      <c r="H38" s="20"/>
      <c r="I38" s="20"/>
      <c r="J38" s="20"/>
      <c r="K38" s="20"/>
      <c r="L38" s="20"/>
      <c r="M38" s="20"/>
      <c r="N38" s="20"/>
      <c r="O38" s="20"/>
      <c r="P38" s="20"/>
      <c r="Q38" s="20"/>
      <c r="R38" s="20"/>
      <c r="S38" s="20"/>
      <c r="T38" s="20"/>
      <c r="U38" s="20"/>
      <c r="V38" s="20"/>
      <c r="W38" s="20"/>
      <c r="X38" s="20"/>
      <c r="Y38" s="20"/>
      <c r="Z38" s="20"/>
    </row>
    <row r="39" spans="1:26" x14ac:dyDescent="0.25">
      <c r="A39" s="18"/>
      <c r="B39" s="18"/>
      <c r="C39" s="18"/>
      <c r="D39" s="20"/>
      <c r="E39" s="20"/>
      <c r="F39" s="20"/>
      <c r="G39" s="20"/>
      <c r="H39" s="20"/>
      <c r="I39" s="20"/>
      <c r="J39" s="20"/>
      <c r="K39" s="20"/>
      <c r="L39" s="20"/>
      <c r="M39" s="20"/>
      <c r="N39" s="20"/>
      <c r="O39" s="20"/>
      <c r="P39" s="20"/>
      <c r="Q39" s="20"/>
      <c r="R39" s="20"/>
      <c r="S39" s="20"/>
      <c r="T39" s="20"/>
      <c r="U39" s="20"/>
      <c r="V39" s="20"/>
      <c r="W39" s="20"/>
      <c r="X39" s="20"/>
      <c r="Y39" s="20"/>
      <c r="Z39" s="20"/>
    </row>
    <row r="40" spans="1:26" x14ac:dyDescent="0.25">
      <c r="A40" s="18"/>
      <c r="B40" s="18"/>
      <c r="C40" s="18"/>
      <c r="D40" s="20"/>
      <c r="E40" s="20"/>
      <c r="F40" s="20"/>
      <c r="G40" s="20"/>
      <c r="H40" s="20"/>
      <c r="I40" s="20"/>
      <c r="J40" s="20"/>
      <c r="K40" s="20"/>
      <c r="L40" s="20"/>
      <c r="M40" s="20"/>
      <c r="N40" s="20"/>
      <c r="O40" s="20"/>
      <c r="P40" s="20"/>
      <c r="Q40" s="20"/>
      <c r="R40" s="20"/>
      <c r="S40" s="20"/>
      <c r="T40" s="20"/>
      <c r="U40" s="20"/>
      <c r="V40" s="20"/>
      <c r="W40" s="20"/>
      <c r="X40" s="20"/>
      <c r="Y40" s="20"/>
      <c r="Z40" s="20"/>
    </row>
    <row r="41" spans="1:26" x14ac:dyDescent="0.25">
      <c r="A41" s="18"/>
      <c r="B41" s="18"/>
      <c r="C41" s="18"/>
      <c r="D41" s="20"/>
      <c r="E41" s="20"/>
      <c r="F41" s="20"/>
      <c r="G41" s="20"/>
      <c r="H41" s="20"/>
      <c r="I41" s="20"/>
      <c r="J41" s="20"/>
      <c r="K41" s="20"/>
      <c r="L41" s="20"/>
      <c r="M41" s="20"/>
      <c r="N41" s="20"/>
      <c r="O41" s="20"/>
      <c r="P41" s="20"/>
      <c r="Q41" s="20"/>
      <c r="R41" s="20"/>
      <c r="S41" s="20"/>
      <c r="T41" s="20"/>
      <c r="U41" s="20"/>
      <c r="V41" s="20"/>
      <c r="W41" s="20"/>
      <c r="X41" s="20"/>
      <c r="Y41" s="20"/>
      <c r="Z41" s="20"/>
    </row>
    <row r="42" spans="1:26" x14ac:dyDescent="0.25">
      <c r="A42" s="18"/>
      <c r="B42" s="18"/>
      <c r="C42" s="18"/>
      <c r="D42" s="20"/>
      <c r="E42" s="20"/>
      <c r="F42" s="20"/>
      <c r="G42" s="20"/>
      <c r="H42" s="20"/>
      <c r="I42" s="20"/>
      <c r="J42" s="20"/>
      <c r="K42" s="20"/>
      <c r="L42" s="20"/>
      <c r="M42" s="20"/>
      <c r="N42" s="20"/>
      <c r="O42" s="20"/>
      <c r="P42" s="20"/>
      <c r="Q42" s="20"/>
      <c r="R42" s="20"/>
      <c r="S42" s="20"/>
      <c r="T42" s="20"/>
      <c r="U42" s="20"/>
      <c r="V42" s="20"/>
      <c r="W42" s="20"/>
      <c r="X42" s="20"/>
      <c r="Y42" s="20"/>
      <c r="Z42" s="20"/>
    </row>
    <row r="43" spans="1:26" x14ac:dyDescent="0.25">
      <c r="A43" s="18"/>
      <c r="B43" s="18"/>
      <c r="C43" s="18"/>
      <c r="D43" s="20"/>
      <c r="E43" s="20"/>
      <c r="F43" s="20"/>
      <c r="G43" s="20"/>
      <c r="H43" s="20"/>
      <c r="I43" s="20"/>
      <c r="J43" s="20"/>
      <c r="K43" s="20"/>
      <c r="L43" s="20"/>
      <c r="M43" s="20"/>
      <c r="N43" s="20"/>
      <c r="O43" s="20"/>
      <c r="P43" s="20"/>
      <c r="Q43" s="20"/>
      <c r="R43" s="20"/>
      <c r="S43" s="20"/>
      <c r="T43" s="20"/>
      <c r="U43" s="20"/>
      <c r="V43" s="20"/>
      <c r="W43" s="20"/>
      <c r="X43" s="20"/>
      <c r="Y43" s="20"/>
      <c r="Z43" s="20"/>
    </row>
    <row r="44" spans="1:26" x14ac:dyDescent="0.25">
      <c r="A44" s="18"/>
      <c r="B44" s="18"/>
      <c r="C44" s="18"/>
      <c r="D44" s="20"/>
      <c r="E44" s="20"/>
      <c r="F44" s="20"/>
      <c r="G44" s="20"/>
      <c r="H44" s="20"/>
      <c r="I44" s="20"/>
      <c r="J44" s="20"/>
      <c r="K44" s="20"/>
      <c r="L44" s="20"/>
      <c r="M44" s="20"/>
      <c r="N44" s="20"/>
      <c r="O44" s="20"/>
      <c r="P44" s="20"/>
      <c r="Q44" s="20"/>
      <c r="R44" s="20"/>
      <c r="S44" s="20"/>
      <c r="T44" s="20"/>
      <c r="U44" s="20"/>
      <c r="V44" s="20"/>
      <c r="W44" s="20"/>
      <c r="X44" s="20"/>
      <c r="Y44" s="20"/>
      <c r="Z44" s="20"/>
    </row>
    <row r="45" spans="1:26" x14ac:dyDescent="0.25">
      <c r="A45" s="18"/>
      <c r="B45" s="18"/>
      <c r="C45" s="18"/>
      <c r="D45" s="20"/>
      <c r="E45" s="20"/>
      <c r="F45" s="20"/>
      <c r="G45" s="20"/>
      <c r="H45" s="20"/>
      <c r="I45" s="20"/>
      <c r="J45" s="20"/>
      <c r="K45" s="20"/>
      <c r="L45" s="20"/>
      <c r="M45" s="20"/>
      <c r="N45" s="20"/>
      <c r="O45" s="20"/>
      <c r="P45" s="20"/>
      <c r="Q45" s="20"/>
      <c r="R45" s="20"/>
      <c r="S45" s="20"/>
      <c r="T45" s="20"/>
      <c r="U45" s="20"/>
      <c r="V45" s="20"/>
      <c r="W45" s="20"/>
      <c r="X45" s="20"/>
      <c r="Y45" s="20"/>
      <c r="Z45" s="20"/>
    </row>
    <row r="46" spans="1:26" x14ac:dyDescent="0.25">
      <c r="A46" s="18"/>
      <c r="B46" s="18"/>
      <c r="C46" s="18"/>
      <c r="D46" s="20"/>
      <c r="E46" s="20"/>
      <c r="F46" s="20"/>
      <c r="G46" s="20"/>
      <c r="H46" s="20"/>
      <c r="I46" s="20"/>
      <c r="J46" s="20"/>
      <c r="K46" s="20"/>
      <c r="L46" s="20"/>
      <c r="M46" s="20"/>
      <c r="N46" s="20"/>
      <c r="O46" s="20"/>
      <c r="P46" s="20"/>
      <c r="Q46" s="20"/>
      <c r="R46" s="20"/>
      <c r="S46" s="20"/>
      <c r="T46" s="20"/>
      <c r="U46" s="20"/>
      <c r="V46" s="20"/>
      <c r="W46" s="20"/>
      <c r="X46" s="20"/>
      <c r="Y46" s="20"/>
      <c r="Z46" s="20"/>
    </row>
    <row r="47" spans="1:26" x14ac:dyDescent="0.25">
      <c r="A47" s="18"/>
      <c r="B47" s="18"/>
      <c r="C47" s="18"/>
      <c r="D47" s="20"/>
      <c r="E47" s="20"/>
      <c r="F47" s="20"/>
      <c r="G47" s="20"/>
      <c r="H47" s="20"/>
      <c r="I47" s="20"/>
      <c r="J47" s="20"/>
      <c r="K47" s="20"/>
      <c r="L47" s="20"/>
      <c r="M47" s="20"/>
      <c r="N47" s="20"/>
      <c r="O47" s="20"/>
      <c r="P47" s="20"/>
      <c r="Q47" s="20"/>
      <c r="R47" s="20"/>
      <c r="S47" s="20"/>
      <c r="T47" s="20"/>
      <c r="U47" s="20"/>
      <c r="V47" s="20"/>
      <c r="W47" s="20"/>
      <c r="X47" s="20"/>
      <c r="Y47" s="20"/>
      <c r="Z47" s="20"/>
    </row>
    <row r="48" spans="1:26" x14ac:dyDescent="0.25">
      <c r="A48" s="18"/>
      <c r="B48" s="18"/>
      <c r="C48" s="18"/>
      <c r="D48" s="20"/>
      <c r="E48" s="20"/>
      <c r="F48" s="20"/>
      <c r="G48" s="20"/>
      <c r="H48" s="20"/>
      <c r="I48" s="20"/>
      <c r="J48" s="20"/>
      <c r="K48" s="20"/>
      <c r="L48" s="20"/>
      <c r="M48" s="20"/>
      <c r="N48" s="20"/>
      <c r="O48" s="20"/>
      <c r="P48" s="20"/>
      <c r="Q48" s="20"/>
      <c r="R48" s="20"/>
      <c r="S48" s="20"/>
      <c r="T48" s="20"/>
      <c r="U48" s="20"/>
      <c r="V48" s="20"/>
      <c r="W48" s="20"/>
      <c r="X48" s="20"/>
      <c r="Y48" s="20"/>
      <c r="Z48" s="20"/>
    </row>
    <row r="49" spans="1:26" x14ac:dyDescent="0.25">
      <c r="A49" s="18"/>
      <c r="B49" s="18"/>
      <c r="C49" s="18"/>
      <c r="D49" s="20"/>
      <c r="E49" s="20"/>
      <c r="F49" s="20"/>
      <c r="G49" s="20"/>
      <c r="H49" s="20"/>
      <c r="I49" s="20"/>
      <c r="J49" s="20"/>
      <c r="K49" s="20"/>
      <c r="L49" s="20"/>
      <c r="M49" s="20"/>
      <c r="N49" s="20"/>
      <c r="O49" s="20"/>
      <c r="P49" s="20"/>
      <c r="Q49" s="20"/>
      <c r="R49" s="20"/>
      <c r="S49" s="20"/>
      <c r="T49" s="20"/>
      <c r="U49" s="20"/>
      <c r="V49" s="20"/>
      <c r="W49" s="20"/>
      <c r="X49" s="20"/>
      <c r="Y49" s="20"/>
      <c r="Z49" s="20"/>
    </row>
    <row r="50" spans="1:26" x14ac:dyDescent="0.25">
      <c r="A50" s="18"/>
      <c r="B50" s="18"/>
      <c r="C50" s="18"/>
      <c r="D50" s="20"/>
      <c r="E50" s="20"/>
      <c r="F50" s="20"/>
      <c r="H50" s="20"/>
      <c r="I50" s="20"/>
      <c r="J50" s="20"/>
      <c r="K50" s="20"/>
      <c r="L50" s="20"/>
      <c r="M50" s="20"/>
      <c r="N50" s="20"/>
      <c r="O50" s="20"/>
      <c r="P50" s="20"/>
      <c r="Q50" s="20"/>
      <c r="R50" s="20"/>
      <c r="S50" s="20"/>
      <c r="T50" s="20"/>
      <c r="U50" s="20"/>
      <c r="V50" s="20"/>
      <c r="W50" s="20"/>
      <c r="X50" s="20"/>
      <c r="Y50" s="20"/>
      <c r="Z50"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zoomScaleNormal="100" workbookViewId="0">
      <selection activeCell="K12" sqref="K12"/>
    </sheetView>
  </sheetViews>
  <sheetFormatPr defaultColWidth="11" defaultRowHeight="15.75" x14ac:dyDescent="0.25"/>
  <cols>
    <col min="1" max="1" width="16" bestFit="1" customWidth="1"/>
    <col min="2" max="2" width="11" bestFit="1" customWidth="1"/>
    <col min="3" max="3" width="16.25" bestFit="1" customWidth="1"/>
    <col min="4" max="4" width="24.5" bestFit="1" customWidth="1"/>
    <col min="5" max="5" width="15.375" bestFit="1" customWidth="1"/>
    <col min="6" max="6" width="20.25" bestFit="1" customWidth="1"/>
    <col min="7" max="7" width="16" bestFit="1" customWidth="1"/>
    <col min="8" max="8" width="12.25" bestFit="1" customWidth="1"/>
    <col min="9" max="9" width="22.125" bestFit="1" customWidth="1"/>
    <col min="10" max="10" width="23.625" bestFit="1" customWidth="1"/>
    <col min="11" max="11" width="18.125" bestFit="1" customWidth="1"/>
    <col min="12" max="12" width="11.375" bestFit="1" customWidth="1"/>
    <col min="14" max="14" width="16.25" bestFit="1" customWidth="1"/>
    <col min="15" max="15" width="19.875" customWidth="1"/>
  </cols>
  <sheetData>
    <row r="1" spans="1:9" ht="23.25" x14ac:dyDescent="0.35">
      <c r="A1" s="10" t="s">
        <v>201</v>
      </c>
      <c r="B1" s="10" t="s">
        <v>0</v>
      </c>
      <c r="C1" s="10" t="s">
        <v>168</v>
      </c>
      <c r="D1" s="10" t="s">
        <v>200</v>
      </c>
      <c r="E1" s="10" t="s">
        <v>197</v>
      </c>
      <c r="F1" s="10" t="s">
        <v>230</v>
      </c>
      <c r="G1" s="10" t="s">
        <v>2</v>
      </c>
      <c r="H1" s="10" t="s">
        <v>3</v>
      </c>
      <c r="I1" s="10" t="s">
        <v>4</v>
      </c>
    </row>
    <row r="2" spans="1:9" x14ac:dyDescent="0.25">
      <c r="A2" t="s">
        <v>202</v>
      </c>
      <c r="B2" s="5">
        <v>45076</v>
      </c>
      <c r="C2" s="5" t="s">
        <v>169</v>
      </c>
      <c r="D2">
        <v>102</v>
      </c>
      <c r="E2">
        <v>104</v>
      </c>
      <c r="F2">
        <v>105</v>
      </c>
      <c r="G2" s="6">
        <v>4500</v>
      </c>
      <c r="H2" s="9">
        <v>598</v>
      </c>
      <c r="I2" s="11">
        <v>0.13288888888888889</v>
      </c>
    </row>
    <row r="3" spans="1:9" x14ac:dyDescent="0.25">
      <c r="A3" t="s">
        <v>203</v>
      </c>
      <c r="B3" s="5">
        <v>45076</v>
      </c>
      <c r="C3" s="5" t="s">
        <v>191</v>
      </c>
      <c r="D3">
        <v>104</v>
      </c>
      <c r="E3">
        <v>103</v>
      </c>
      <c r="F3">
        <v>104</v>
      </c>
      <c r="G3" s="6">
        <v>3800</v>
      </c>
      <c r="H3" s="9">
        <v>1045</v>
      </c>
      <c r="I3" s="11">
        <v>0.27500000000000002</v>
      </c>
    </row>
    <row r="4" spans="1:9" x14ac:dyDescent="0.25">
      <c r="A4" t="s">
        <v>204</v>
      </c>
      <c r="B4" s="5">
        <v>45076</v>
      </c>
      <c r="C4" s="5" t="s">
        <v>189</v>
      </c>
      <c r="D4">
        <v>104</v>
      </c>
      <c r="E4">
        <v>103</v>
      </c>
      <c r="F4">
        <v>103</v>
      </c>
      <c r="G4" s="6">
        <v>3712.5</v>
      </c>
      <c r="H4" s="9">
        <v>1009</v>
      </c>
      <c r="I4" s="11">
        <v>0.2717845117845118</v>
      </c>
    </row>
    <row r="5" spans="1:9" x14ac:dyDescent="0.25">
      <c r="A5" t="s">
        <v>205</v>
      </c>
      <c r="B5" s="5">
        <v>45076</v>
      </c>
      <c r="C5" s="5" t="s">
        <v>194</v>
      </c>
      <c r="D5">
        <v>103</v>
      </c>
      <c r="E5">
        <v>102</v>
      </c>
      <c r="F5">
        <v>103</v>
      </c>
      <c r="G5" s="8">
        <v>747.07491082045203</v>
      </c>
      <c r="H5" s="9">
        <v>779</v>
      </c>
      <c r="I5" s="11">
        <v>1.042733451113339</v>
      </c>
    </row>
    <row r="6" spans="1:9" x14ac:dyDescent="0.25">
      <c r="A6" t="s">
        <v>206</v>
      </c>
      <c r="B6" s="5">
        <v>45076</v>
      </c>
      <c r="C6" s="5" t="s">
        <v>192</v>
      </c>
      <c r="D6">
        <v>103</v>
      </c>
      <c r="E6">
        <v>102</v>
      </c>
      <c r="F6">
        <v>102</v>
      </c>
      <c r="G6" s="6">
        <v>5000</v>
      </c>
      <c r="H6" s="9">
        <v>684</v>
      </c>
      <c r="I6" s="11">
        <v>0.1368</v>
      </c>
    </row>
    <row r="7" spans="1:9" x14ac:dyDescent="0.25">
      <c r="A7" t="s">
        <v>207</v>
      </c>
      <c r="B7" s="5">
        <v>45077</v>
      </c>
      <c r="C7" s="5" t="s">
        <v>184</v>
      </c>
      <c r="D7">
        <v>102</v>
      </c>
      <c r="E7">
        <v>104</v>
      </c>
      <c r="F7">
        <v>105</v>
      </c>
      <c r="G7" s="6">
        <v>6100</v>
      </c>
      <c r="H7" s="9">
        <v>544</v>
      </c>
      <c r="I7" s="11">
        <v>8.9180327868852494E-2</v>
      </c>
    </row>
    <row r="8" spans="1:9" x14ac:dyDescent="0.25">
      <c r="A8" t="s">
        <v>208</v>
      </c>
      <c r="B8" s="5">
        <v>45077</v>
      </c>
      <c r="C8" s="5" t="s">
        <v>188</v>
      </c>
      <c r="D8">
        <v>102</v>
      </c>
      <c r="E8">
        <v>104</v>
      </c>
      <c r="F8">
        <v>105</v>
      </c>
      <c r="G8" s="6">
        <v>4625</v>
      </c>
      <c r="H8" s="9">
        <v>670</v>
      </c>
      <c r="I8" s="11">
        <v>0.14486486486486486</v>
      </c>
    </row>
    <row r="9" spans="1:9" x14ac:dyDescent="0.25">
      <c r="A9" t="s">
        <v>209</v>
      </c>
      <c r="B9" s="5">
        <v>45077</v>
      </c>
      <c r="C9" s="5" t="s">
        <v>174</v>
      </c>
      <c r="D9">
        <v>102</v>
      </c>
      <c r="E9">
        <v>104</v>
      </c>
      <c r="F9">
        <v>105</v>
      </c>
      <c r="G9" s="6">
        <v>3800</v>
      </c>
      <c r="H9" s="9">
        <v>2045</v>
      </c>
      <c r="I9" s="11">
        <v>0.53815789473684206</v>
      </c>
    </row>
    <row r="10" spans="1:9" x14ac:dyDescent="0.25">
      <c r="A10" t="s">
        <v>210</v>
      </c>
      <c r="B10" s="5">
        <v>45077</v>
      </c>
      <c r="C10" s="5" t="s">
        <v>171</v>
      </c>
      <c r="D10">
        <v>102</v>
      </c>
      <c r="E10">
        <v>104</v>
      </c>
      <c r="F10">
        <v>101</v>
      </c>
      <c r="G10" s="6">
        <v>3600</v>
      </c>
      <c r="H10" s="9">
        <v>1564</v>
      </c>
      <c r="I10" s="11">
        <v>0.43444444444444447</v>
      </c>
    </row>
    <row r="11" spans="1:9" x14ac:dyDescent="0.25">
      <c r="A11" t="s">
        <v>211</v>
      </c>
      <c r="B11" s="5">
        <v>45077</v>
      </c>
      <c r="C11" s="5" t="s">
        <v>196</v>
      </c>
      <c r="D11">
        <v>102</v>
      </c>
      <c r="E11">
        <v>104</v>
      </c>
      <c r="F11">
        <v>102</v>
      </c>
      <c r="G11" s="6">
        <v>5100</v>
      </c>
      <c r="H11" s="9">
        <v>1220</v>
      </c>
      <c r="I11" s="11">
        <v>0.23921568627450981</v>
      </c>
    </row>
    <row r="12" spans="1:9" x14ac:dyDescent="0.25">
      <c r="A12" t="s">
        <v>212</v>
      </c>
      <c r="B12" s="5">
        <v>45077</v>
      </c>
      <c r="C12" s="5" t="s">
        <v>190</v>
      </c>
      <c r="D12">
        <v>102</v>
      </c>
      <c r="E12">
        <v>104</v>
      </c>
      <c r="F12">
        <v>102</v>
      </c>
      <c r="G12" s="6">
        <v>4750</v>
      </c>
      <c r="H12" s="9">
        <v>1435</v>
      </c>
      <c r="I12" s="11">
        <v>0.30210526315789471</v>
      </c>
    </row>
    <row r="13" spans="1:9" x14ac:dyDescent="0.25">
      <c r="A13" t="s">
        <v>213</v>
      </c>
      <c r="B13" s="5">
        <v>45077</v>
      </c>
      <c r="C13" s="5" t="s">
        <v>176</v>
      </c>
      <c r="D13">
        <v>103</v>
      </c>
      <c r="E13">
        <v>102</v>
      </c>
      <c r="F13">
        <v>105</v>
      </c>
      <c r="G13" s="6">
        <v>6000</v>
      </c>
      <c r="H13" s="9">
        <v>998</v>
      </c>
      <c r="I13" s="11">
        <v>0.16633333333333333</v>
      </c>
    </row>
    <row r="14" spans="1:9" x14ac:dyDescent="0.25">
      <c r="A14" t="s">
        <v>214</v>
      </c>
      <c r="B14" s="5">
        <v>45077</v>
      </c>
      <c r="C14" s="5" t="s">
        <v>186</v>
      </c>
      <c r="D14">
        <v>101</v>
      </c>
      <c r="E14">
        <v>101</v>
      </c>
      <c r="F14">
        <v>102</v>
      </c>
      <c r="G14" s="6">
        <v>4500</v>
      </c>
      <c r="H14" s="9">
        <v>780</v>
      </c>
      <c r="I14" s="11">
        <v>0.17333333333333334</v>
      </c>
    </row>
    <row r="15" spans="1:9" x14ac:dyDescent="0.25">
      <c r="A15" t="s">
        <v>215</v>
      </c>
      <c r="B15" s="5">
        <v>45078</v>
      </c>
      <c r="C15" s="5" t="s">
        <v>178</v>
      </c>
      <c r="D15">
        <v>101</v>
      </c>
      <c r="E15">
        <v>101</v>
      </c>
      <c r="F15">
        <v>101</v>
      </c>
      <c r="G15" s="8">
        <v>851.35766944114152</v>
      </c>
      <c r="H15" s="9">
        <v>1044</v>
      </c>
      <c r="I15" s="11">
        <v>1.2262766137824483</v>
      </c>
    </row>
    <row r="16" spans="1:9" x14ac:dyDescent="0.25">
      <c r="A16" t="s">
        <v>216</v>
      </c>
      <c r="B16" s="5">
        <v>45078</v>
      </c>
      <c r="C16" s="5" t="s">
        <v>195</v>
      </c>
      <c r="D16">
        <v>101</v>
      </c>
      <c r="E16">
        <v>101</v>
      </c>
      <c r="F16">
        <v>105</v>
      </c>
      <c r="G16" s="6">
        <v>3712.5</v>
      </c>
      <c r="H16" s="9">
        <v>1222</v>
      </c>
      <c r="I16" s="11">
        <v>0.32915824915824915</v>
      </c>
    </row>
    <row r="17" spans="1:9" x14ac:dyDescent="0.25">
      <c r="A17" t="s">
        <v>217</v>
      </c>
      <c r="B17" s="5">
        <v>45078</v>
      </c>
      <c r="C17" s="5" t="s">
        <v>193</v>
      </c>
      <c r="D17">
        <v>101</v>
      </c>
      <c r="E17">
        <v>101</v>
      </c>
      <c r="F17">
        <v>105</v>
      </c>
      <c r="G17" s="6">
        <v>4950</v>
      </c>
      <c r="H17" s="9">
        <v>1065</v>
      </c>
      <c r="I17" s="11">
        <v>0.21515151515151515</v>
      </c>
    </row>
    <row r="18" spans="1:9" x14ac:dyDescent="0.25">
      <c r="A18" t="s">
        <v>218</v>
      </c>
      <c r="B18" s="5">
        <v>45078</v>
      </c>
      <c r="C18" s="5" t="s">
        <v>173</v>
      </c>
      <c r="D18">
        <v>103</v>
      </c>
      <c r="E18">
        <v>102</v>
      </c>
      <c r="F18">
        <v>105</v>
      </c>
      <c r="G18" s="6">
        <v>4750</v>
      </c>
      <c r="H18" s="9">
        <v>810</v>
      </c>
      <c r="I18" s="11">
        <v>0.17052631578947369</v>
      </c>
    </row>
    <row r="19" spans="1:9" x14ac:dyDescent="0.25">
      <c r="A19" t="s">
        <v>219</v>
      </c>
      <c r="B19" s="5">
        <v>45078</v>
      </c>
      <c r="C19" s="5" t="s">
        <v>172</v>
      </c>
      <c r="D19">
        <v>103</v>
      </c>
      <c r="E19">
        <v>102</v>
      </c>
      <c r="F19">
        <v>105</v>
      </c>
      <c r="G19" s="6">
        <v>7320</v>
      </c>
      <c r="H19" s="9">
        <v>933</v>
      </c>
      <c r="I19" s="11">
        <v>0.12745901639344262</v>
      </c>
    </row>
    <row r="20" spans="1:9" x14ac:dyDescent="0.25">
      <c r="A20" t="s">
        <v>220</v>
      </c>
      <c r="B20" s="5">
        <v>45078</v>
      </c>
      <c r="C20" s="5" t="s">
        <v>170</v>
      </c>
      <c r="D20">
        <v>101</v>
      </c>
      <c r="E20">
        <v>101</v>
      </c>
      <c r="F20">
        <v>105</v>
      </c>
      <c r="G20" s="6">
        <v>5087.5</v>
      </c>
      <c r="H20" s="9">
        <v>655</v>
      </c>
      <c r="I20" s="11">
        <v>0.12874692874692875</v>
      </c>
    </row>
    <row r="21" spans="1:9" x14ac:dyDescent="0.25">
      <c r="A21" t="s">
        <v>221</v>
      </c>
      <c r="B21" s="5">
        <v>45078</v>
      </c>
      <c r="C21" s="5" t="s">
        <v>182</v>
      </c>
      <c r="D21">
        <v>101</v>
      </c>
      <c r="E21">
        <v>101</v>
      </c>
      <c r="F21">
        <v>105</v>
      </c>
      <c r="G21" s="6">
        <v>4500</v>
      </c>
      <c r="H21" s="9">
        <v>722</v>
      </c>
      <c r="I21" s="11">
        <v>0.16044444444444445</v>
      </c>
    </row>
    <row r="22" spans="1:9" x14ac:dyDescent="0.25">
      <c r="A22" t="s">
        <v>222</v>
      </c>
      <c r="B22" s="5">
        <v>45078</v>
      </c>
      <c r="C22" s="5" t="s">
        <v>181</v>
      </c>
      <c r="D22">
        <v>101</v>
      </c>
      <c r="E22">
        <v>101</v>
      </c>
      <c r="F22">
        <v>101</v>
      </c>
      <c r="G22" s="6">
        <v>4250</v>
      </c>
      <c r="H22" s="9">
        <v>901</v>
      </c>
      <c r="I22" s="11">
        <v>0.21199999999999999</v>
      </c>
    </row>
    <row r="23" spans="1:9" x14ac:dyDescent="0.25">
      <c r="A23" t="s">
        <v>223</v>
      </c>
      <c r="B23" s="5">
        <v>45079</v>
      </c>
      <c r="C23" s="5" t="s">
        <v>187</v>
      </c>
      <c r="D23">
        <v>101</v>
      </c>
      <c r="E23">
        <v>101</v>
      </c>
      <c r="F23">
        <v>104</v>
      </c>
      <c r="G23" s="6">
        <v>5250</v>
      </c>
      <c r="H23" s="9">
        <v>1349</v>
      </c>
      <c r="I23" s="11">
        <v>0.25695238095238093</v>
      </c>
    </row>
    <row r="24" spans="1:9" x14ac:dyDescent="0.25">
      <c r="A24" t="s">
        <v>224</v>
      </c>
      <c r="B24" s="5">
        <v>45079</v>
      </c>
      <c r="C24" s="5" t="s">
        <v>175</v>
      </c>
      <c r="D24">
        <v>104</v>
      </c>
      <c r="E24">
        <v>103</v>
      </c>
      <c r="F24">
        <v>104</v>
      </c>
      <c r="G24" s="6">
        <v>6500</v>
      </c>
      <c r="H24" s="9">
        <v>1288</v>
      </c>
      <c r="I24" s="11">
        <v>0.19815384615384615</v>
      </c>
    </row>
    <row r="25" spans="1:9" x14ac:dyDescent="0.25">
      <c r="A25" t="s">
        <v>225</v>
      </c>
      <c r="B25" s="5">
        <v>45079</v>
      </c>
      <c r="C25" s="5" t="s">
        <v>177</v>
      </c>
      <c r="D25">
        <v>104</v>
      </c>
      <c r="E25">
        <v>103</v>
      </c>
      <c r="F25">
        <v>104</v>
      </c>
      <c r="G25" s="6">
        <v>7500</v>
      </c>
      <c r="H25" s="9">
        <v>1664</v>
      </c>
      <c r="I25" s="11">
        <v>0.22186666666666666</v>
      </c>
    </row>
    <row r="26" spans="1:9" x14ac:dyDescent="0.25">
      <c r="A26" t="s">
        <v>226</v>
      </c>
      <c r="B26" s="5">
        <v>45079</v>
      </c>
      <c r="C26" s="5" t="s">
        <v>183</v>
      </c>
      <c r="D26">
        <v>104</v>
      </c>
      <c r="E26">
        <v>103</v>
      </c>
      <c r="F26">
        <v>105</v>
      </c>
      <c r="G26" s="6">
        <v>5500</v>
      </c>
      <c r="H26" s="9">
        <v>1320</v>
      </c>
      <c r="I26" s="11">
        <v>0.24</v>
      </c>
    </row>
    <row r="27" spans="1:9" x14ac:dyDescent="0.25">
      <c r="A27" t="s">
        <v>227</v>
      </c>
      <c r="B27" s="5">
        <v>45079</v>
      </c>
      <c r="C27" s="5" t="s">
        <v>179</v>
      </c>
      <c r="D27">
        <v>104</v>
      </c>
      <c r="E27">
        <v>103</v>
      </c>
      <c r="F27">
        <v>105</v>
      </c>
      <c r="G27" s="6">
        <v>4625</v>
      </c>
      <c r="H27" s="9">
        <v>1001</v>
      </c>
      <c r="I27" s="11">
        <v>0.21643243243243243</v>
      </c>
    </row>
    <row r="28" spans="1:9" x14ac:dyDescent="0.25">
      <c r="A28" t="s">
        <v>228</v>
      </c>
      <c r="B28" s="5">
        <v>45079</v>
      </c>
      <c r="C28" s="5" t="s">
        <v>180</v>
      </c>
      <c r="D28">
        <v>104</v>
      </c>
      <c r="E28">
        <v>103</v>
      </c>
      <c r="F28">
        <v>105</v>
      </c>
      <c r="G28" s="6">
        <v>4500</v>
      </c>
      <c r="H28" s="9">
        <v>960</v>
      </c>
      <c r="I28" s="11">
        <v>0.21333333333333335</v>
      </c>
    </row>
    <row r="29" spans="1:9" x14ac:dyDescent="0.25">
      <c r="A29" t="s">
        <v>229</v>
      </c>
      <c r="B29" s="5">
        <v>45079</v>
      </c>
      <c r="C29" s="5" t="s">
        <v>185</v>
      </c>
      <c r="D29">
        <v>104</v>
      </c>
      <c r="E29">
        <v>103</v>
      </c>
      <c r="F29">
        <v>101</v>
      </c>
      <c r="G29" s="6">
        <v>5400</v>
      </c>
      <c r="H29" s="9">
        <v>540</v>
      </c>
      <c r="I29" s="11">
        <v>0.1</v>
      </c>
    </row>
    <row r="30" spans="1:9" x14ac:dyDescent="0.25">
      <c r="A30" t="s">
        <v>231</v>
      </c>
      <c r="B30" s="5">
        <v>45080</v>
      </c>
      <c r="C30" s="5" t="s">
        <v>186</v>
      </c>
      <c r="D30">
        <v>104</v>
      </c>
      <c r="E30">
        <v>103</v>
      </c>
      <c r="F30">
        <v>101</v>
      </c>
      <c r="G30" s="6">
        <v>5300</v>
      </c>
      <c r="H30" s="9">
        <v>530</v>
      </c>
      <c r="I30" s="11">
        <v>0.1</v>
      </c>
    </row>
    <row r="34" spans="6:7" x14ac:dyDescent="0.25">
      <c r="F34" s="1"/>
      <c r="G34"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2"/>
  <sheetViews>
    <sheetView zoomScaleNormal="100" workbookViewId="0">
      <selection activeCell="F37" sqref="F37"/>
    </sheetView>
  </sheetViews>
  <sheetFormatPr defaultColWidth="11" defaultRowHeight="15.75" x14ac:dyDescent="0.25"/>
  <cols>
    <col min="1" max="1" width="3.5" customWidth="1"/>
    <col min="2" max="2" width="8.375" bestFit="1" customWidth="1"/>
    <col min="3" max="3" width="32.875" bestFit="1" customWidth="1"/>
    <col min="4" max="4" width="20.375" bestFit="1" customWidth="1"/>
    <col min="5" max="5" width="16.875" bestFit="1" customWidth="1"/>
    <col min="6" max="6" width="16.5" bestFit="1" customWidth="1"/>
    <col min="7" max="7" width="16.875" customWidth="1"/>
    <col min="8" max="8" width="16.875" bestFit="1" customWidth="1"/>
    <col min="9" max="9" width="18.125" bestFit="1" customWidth="1"/>
    <col min="10" max="10" width="20.125" customWidth="1"/>
    <col min="11" max="11" width="18.125" bestFit="1" customWidth="1"/>
  </cols>
  <sheetData>
    <row r="2" spans="2:11" ht="23.25" x14ac:dyDescent="0.35">
      <c r="B2" s="4" t="s">
        <v>0</v>
      </c>
      <c r="C2" s="4" t="s">
        <v>5</v>
      </c>
      <c r="D2" s="4" t="s">
        <v>100</v>
      </c>
      <c r="E2" s="4" t="s">
        <v>101</v>
      </c>
      <c r="F2" s="4" t="s">
        <v>6</v>
      </c>
      <c r="G2" s="4" t="s">
        <v>158</v>
      </c>
      <c r="H2" s="4" t="s">
        <v>47</v>
      </c>
      <c r="I2" s="4" t="s">
        <v>2</v>
      </c>
      <c r="J2" s="4" t="s">
        <v>3</v>
      </c>
      <c r="K2" s="4" t="s">
        <v>4</v>
      </c>
    </row>
    <row r="3" spans="2:11" x14ac:dyDescent="0.25">
      <c r="B3" s="5">
        <v>45076</v>
      </c>
      <c r="C3" t="s">
        <v>72</v>
      </c>
      <c r="D3" t="s">
        <v>102</v>
      </c>
      <c r="E3" t="s">
        <v>103</v>
      </c>
      <c r="F3" t="s">
        <v>162</v>
      </c>
      <c r="G3" t="s">
        <v>163</v>
      </c>
      <c r="H3" t="s">
        <v>51</v>
      </c>
      <c r="I3" s="6">
        <v>4500</v>
      </c>
      <c r="J3" s="9">
        <v>598</v>
      </c>
      <c r="K3" s="7">
        <f>J3/I3</f>
        <v>0.13288888888888889</v>
      </c>
    </row>
    <row r="4" spans="2:11" x14ac:dyDescent="0.25">
      <c r="B4" s="5">
        <v>45076</v>
      </c>
      <c r="C4" t="s">
        <v>73</v>
      </c>
      <c r="D4" t="s">
        <v>104</v>
      </c>
      <c r="E4" t="s">
        <v>105</v>
      </c>
      <c r="F4" t="s">
        <v>159</v>
      </c>
      <c r="G4" t="s">
        <v>164</v>
      </c>
      <c r="H4" t="s">
        <v>49</v>
      </c>
      <c r="I4" s="6">
        <v>3800</v>
      </c>
      <c r="J4" s="9">
        <v>1045</v>
      </c>
      <c r="K4" s="7">
        <f>J4/I4</f>
        <v>0.27500000000000002</v>
      </c>
    </row>
    <row r="5" spans="2:11" x14ac:dyDescent="0.25">
      <c r="B5" s="5">
        <v>45076</v>
      </c>
      <c r="C5" t="s">
        <v>74</v>
      </c>
      <c r="D5" t="s">
        <v>106</v>
      </c>
      <c r="E5" t="s">
        <v>107</v>
      </c>
      <c r="F5" t="s">
        <v>159</v>
      </c>
      <c r="G5" t="s">
        <v>164</v>
      </c>
      <c r="H5" t="s">
        <v>167</v>
      </c>
      <c r="I5" s="6">
        <v>3712.5</v>
      </c>
      <c r="J5" s="9">
        <v>1009</v>
      </c>
      <c r="K5" s="7">
        <f>J5/I5</f>
        <v>0.2717845117845118</v>
      </c>
    </row>
    <row r="6" spans="2:11" x14ac:dyDescent="0.25">
      <c r="B6" s="5">
        <v>45076</v>
      </c>
      <c r="C6" t="s">
        <v>75</v>
      </c>
      <c r="D6" t="s">
        <v>108</v>
      </c>
      <c r="E6" t="s">
        <v>109</v>
      </c>
      <c r="F6" t="s">
        <v>160</v>
      </c>
      <c r="G6" t="s">
        <v>161</v>
      </c>
      <c r="H6" t="s">
        <v>167</v>
      </c>
      <c r="I6" s="8">
        <v>747.07491082045203</v>
      </c>
      <c r="J6" s="9">
        <v>779</v>
      </c>
      <c r="K6" s="7">
        <f>IFERROR(J6/I6,0)</f>
        <v>1.042733451113339</v>
      </c>
    </row>
    <row r="7" spans="2:11" x14ac:dyDescent="0.25">
      <c r="B7" s="5">
        <v>45076</v>
      </c>
      <c r="C7" t="s">
        <v>76</v>
      </c>
      <c r="D7" t="s">
        <v>110</v>
      </c>
      <c r="E7" t="s">
        <v>111</v>
      </c>
      <c r="F7" t="s">
        <v>160</v>
      </c>
      <c r="G7" t="s">
        <v>161</v>
      </c>
      <c r="H7" t="s">
        <v>50</v>
      </c>
      <c r="I7" s="6">
        <v>5000</v>
      </c>
      <c r="J7" s="9">
        <v>684</v>
      </c>
      <c r="K7" s="7">
        <f t="shared" ref="K7:K30" si="0">J7/I7</f>
        <v>0.1368</v>
      </c>
    </row>
    <row r="8" spans="2:11" x14ac:dyDescent="0.25">
      <c r="B8" s="5">
        <v>45077</v>
      </c>
      <c r="C8" t="s">
        <v>77</v>
      </c>
      <c r="D8" t="s">
        <v>112</v>
      </c>
      <c r="E8" t="s">
        <v>113</v>
      </c>
      <c r="F8" t="s">
        <v>162</v>
      </c>
      <c r="G8" t="s">
        <v>163</v>
      </c>
      <c r="H8" t="s">
        <v>51</v>
      </c>
      <c r="I8" s="6">
        <v>6100</v>
      </c>
      <c r="J8" s="9">
        <v>544</v>
      </c>
      <c r="K8" s="7">
        <f t="shared" si="0"/>
        <v>8.9180327868852466E-2</v>
      </c>
    </row>
    <row r="9" spans="2:11" x14ac:dyDescent="0.25">
      <c r="B9" s="5">
        <v>45077</v>
      </c>
      <c r="C9" t="s">
        <v>78</v>
      </c>
      <c r="D9" t="s">
        <v>114</v>
      </c>
      <c r="E9" t="s">
        <v>115</v>
      </c>
      <c r="F9" t="s">
        <v>162</v>
      </c>
      <c r="G9" t="s">
        <v>163</v>
      </c>
      <c r="H9" t="s">
        <v>51</v>
      </c>
      <c r="I9" s="6">
        <v>4625</v>
      </c>
      <c r="J9" s="9">
        <v>670</v>
      </c>
      <c r="K9" s="7">
        <f t="shared" si="0"/>
        <v>0.14486486486486486</v>
      </c>
    </row>
    <row r="10" spans="2:11" x14ac:dyDescent="0.25">
      <c r="B10" s="5">
        <v>45077</v>
      </c>
      <c r="C10" t="s">
        <v>79</v>
      </c>
      <c r="D10" t="s">
        <v>116</v>
      </c>
      <c r="E10" t="s">
        <v>117</v>
      </c>
      <c r="F10" t="s">
        <v>162</v>
      </c>
      <c r="G10" t="s">
        <v>163</v>
      </c>
      <c r="H10" t="s">
        <v>51</v>
      </c>
      <c r="I10" s="6">
        <v>3800</v>
      </c>
      <c r="J10" s="9">
        <v>2045</v>
      </c>
      <c r="K10" s="7">
        <f t="shared" si="0"/>
        <v>0.53815789473684206</v>
      </c>
    </row>
    <row r="11" spans="2:11" x14ac:dyDescent="0.25">
      <c r="B11" s="5">
        <v>45077</v>
      </c>
      <c r="C11" t="s">
        <v>80</v>
      </c>
      <c r="D11" t="s">
        <v>118</v>
      </c>
      <c r="E11" t="s">
        <v>119</v>
      </c>
      <c r="F11" t="s">
        <v>162</v>
      </c>
      <c r="G11" t="s">
        <v>163</v>
      </c>
      <c r="H11" t="s">
        <v>48</v>
      </c>
      <c r="I11" s="6">
        <v>3600</v>
      </c>
      <c r="J11" s="9">
        <v>1564</v>
      </c>
      <c r="K11" s="7">
        <f t="shared" si="0"/>
        <v>0.43444444444444447</v>
      </c>
    </row>
    <row r="12" spans="2:11" x14ac:dyDescent="0.25">
      <c r="B12" s="5">
        <v>45077</v>
      </c>
      <c r="C12" t="s">
        <v>81</v>
      </c>
      <c r="D12" t="s">
        <v>120</v>
      </c>
      <c r="E12" t="s">
        <v>121</v>
      </c>
      <c r="F12" t="s">
        <v>162</v>
      </c>
      <c r="G12" t="s">
        <v>163</v>
      </c>
      <c r="H12" t="s">
        <v>50</v>
      </c>
      <c r="I12" s="6">
        <v>5100</v>
      </c>
      <c r="J12" s="9">
        <v>1220</v>
      </c>
      <c r="K12" s="7">
        <f t="shared" si="0"/>
        <v>0.23921568627450981</v>
      </c>
    </row>
    <row r="13" spans="2:11" x14ac:dyDescent="0.25">
      <c r="B13" s="5">
        <v>45077</v>
      </c>
      <c r="C13" t="s">
        <v>82</v>
      </c>
      <c r="D13" t="s">
        <v>122</v>
      </c>
      <c r="E13" t="s">
        <v>123</v>
      </c>
      <c r="F13" t="s">
        <v>162</v>
      </c>
      <c r="G13" t="s">
        <v>163</v>
      </c>
      <c r="H13" t="s">
        <v>50</v>
      </c>
      <c r="I13" s="6">
        <v>4750</v>
      </c>
      <c r="J13" s="9">
        <v>1435</v>
      </c>
      <c r="K13" s="7">
        <f t="shared" si="0"/>
        <v>0.30210526315789471</v>
      </c>
    </row>
    <row r="14" spans="2:11" x14ac:dyDescent="0.25">
      <c r="B14" s="5">
        <v>45077</v>
      </c>
      <c r="C14" t="s">
        <v>83</v>
      </c>
      <c r="D14" t="s">
        <v>124</v>
      </c>
      <c r="E14" t="s">
        <v>125</v>
      </c>
      <c r="F14" t="s">
        <v>160</v>
      </c>
      <c r="G14" t="s">
        <v>161</v>
      </c>
      <c r="H14" t="s">
        <v>51</v>
      </c>
      <c r="I14" s="6">
        <v>6000</v>
      </c>
      <c r="J14" s="9">
        <v>998</v>
      </c>
      <c r="K14" s="7">
        <f t="shared" si="0"/>
        <v>0.16633333333333333</v>
      </c>
    </row>
    <row r="15" spans="2:11" x14ac:dyDescent="0.25">
      <c r="B15" s="5">
        <v>45077</v>
      </c>
      <c r="C15" t="s">
        <v>84</v>
      </c>
      <c r="D15" t="s">
        <v>126</v>
      </c>
      <c r="E15" t="s">
        <v>127</v>
      </c>
      <c r="F15" t="s">
        <v>165</v>
      </c>
      <c r="G15" t="s">
        <v>166</v>
      </c>
      <c r="H15" t="s">
        <v>50</v>
      </c>
      <c r="I15" s="6">
        <v>4500</v>
      </c>
      <c r="J15" s="9">
        <v>780</v>
      </c>
      <c r="K15" s="7">
        <f t="shared" si="0"/>
        <v>0.17333333333333334</v>
      </c>
    </row>
    <row r="16" spans="2:11" x14ac:dyDescent="0.25">
      <c r="B16" s="5">
        <v>45078</v>
      </c>
      <c r="C16" t="s">
        <v>85</v>
      </c>
      <c r="D16" t="s">
        <v>128</v>
      </c>
      <c r="E16" t="s">
        <v>129</v>
      </c>
      <c r="F16" t="s">
        <v>165</v>
      </c>
      <c r="G16" t="s">
        <v>166</v>
      </c>
      <c r="H16" t="s">
        <v>48</v>
      </c>
      <c r="I16" s="8">
        <v>851.35766944114152</v>
      </c>
      <c r="J16" s="9">
        <v>1044</v>
      </c>
      <c r="K16" s="7">
        <f t="shared" si="0"/>
        <v>1.2262766137824483</v>
      </c>
    </row>
    <row r="17" spans="2:11" x14ac:dyDescent="0.25">
      <c r="B17" s="5">
        <v>45078</v>
      </c>
      <c r="C17" t="s">
        <v>86</v>
      </c>
      <c r="D17" t="s">
        <v>130</v>
      </c>
      <c r="E17" t="s">
        <v>131</v>
      </c>
      <c r="F17" t="s">
        <v>165</v>
      </c>
      <c r="G17" t="s">
        <v>166</v>
      </c>
      <c r="H17" t="s">
        <v>51</v>
      </c>
      <c r="I17" s="6">
        <v>3712.5</v>
      </c>
      <c r="J17" s="9">
        <v>1222</v>
      </c>
      <c r="K17" s="7">
        <f t="shared" si="0"/>
        <v>0.32915824915824915</v>
      </c>
    </row>
    <row r="18" spans="2:11" x14ac:dyDescent="0.25">
      <c r="B18" s="5">
        <v>45078</v>
      </c>
      <c r="C18" t="s">
        <v>87</v>
      </c>
      <c r="D18" t="s">
        <v>132</v>
      </c>
      <c r="E18" t="s">
        <v>133</v>
      </c>
      <c r="F18" t="s">
        <v>165</v>
      </c>
      <c r="G18" t="s">
        <v>166</v>
      </c>
      <c r="H18" t="s">
        <v>51</v>
      </c>
      <c r="I18" s="6">
        <v>4950</v>
      </c>
      <c r="J18" s="9">
        <v>1065</v>
      </c>
      <c r="K18" s="7">
        <f t="shared" si="0"/>
        <v>0.21515151515151515</v>
      </c>
    </row>
    <row r="19" spans="2:11" x14ac:dyDescent="0.25">
      <c r="B19" s="5">
        <v>45078</v>
      </c>
      <c r="C19" t="s">
        <v>88</v>
      </c>
      <c r="D19" t="s">
        <v>134</v>
      </c>
      <c r="E19" t="s">
        <v>135</v>
      </c>
      <c r="F19" t="s">
        <v>160</v>
      </c>
      <c r="G19" t="s">
        <v>161</v>
      </c>
      <c r="H19" t="s">
        <v>51</v>
      </c>
      <c r="I19" s="6">
        <v>4750</v>
      </c>
      <c r="J19" s="9">
        <v>810</v>
      </c>
      <c r="K19" s="7">
        <f t="shared" si="0"/>
        <v>0.17052631578947369</v>
      </c>
    </row>
    <row r="20" spans="2:11" x14ac:dyDescent="0.25">
      <c r="B20" s="5">
        <v>45078</v>
      </c>
      <c r="C20" t="s">
        <v>89</v>
      </c>
      <c r="D20" t="s">
        <v>136</v>
      </c>
      <c r="E20" t="s">
        <v>137</v>
      </c>
      <c r="F20" t="s">
        <v>160</v>
      </c>
      <c r="G20" t="s">
        <v>161</v>
      </c>
      <c r="H20" t="s">
        <v>51</v>
      </c>
      <c r="I20" s="6">
        <v>7320</v>
      </c>
      <c r="J20" s="9">
        <v>933</v>
      </c>
      <c r="K20" s="7">
        <f t="shared" si="0"/>
        <v>0.12745901639344262</v>
      </c>
    </row>
    <row r="21" spans="2:11" x14ac:dyDescent="0.25">
      <c r="B21" s="5">
        <v>45078</v>
      </c>
      <c r="C21" t="s">
        <v>90</v>
      </c>
      <c r="D21" t="s">
        <v>138</v>
      </c>
      <c r="E21" t="s">
        <v>139</v>
      </c>
      <c r="F21" t="s">
        <v>165</v>
      </c>
      <c r="G21" t="s">
        <v>166</v>
      </c>
      <c r="H21" t="s">
        <v>51</v>
      </c>
      <c r="I21" s="6">
        <v>5087.5</v>
      </c>
      <c r="J21" s="9">
        <v>655</v>
      </c>
      <c r="K21" s="7">
        <f t="shared" si="0"/>
        <v>0.12874692874692875</v>
      </c>
    </row>
    <row r="22" spans="2:11" x14ac:dyDescent="0.25">
      <c r="B22" s="5">
        <v>45078</v>
      </c>
      <c r="C22" t="s">
        <v>91</v>
      </c>
      <c r="D22" t="s">
        <v>140</v>
      </c>
      <c r="E22" t="s">
        <v>141</v>
      </c>
      <c r="F22" t="s">
        <v>165</v>
      </c>
      <c r="G22" t="s">
        <v>166</v>
      </c>
      <c r="H22" t="s">
        <v>51</v>
      </c>
      <c r="I22" s="6">
        <v>4500</v>
      </c>
      <c r="J22" s="9">
        <v>722</v>
      </c>
      <c r="K22" s="7">
        <f t="shared" si="0"/>
        <v>0.16044444444444445</v>
      </c>
    </row>
    <row r="23" spans="2:11" x14ac:dyDescent="0.25">
      <c r="B23" s="5">
        <v>45078</v>
      </c>
      <c r="C23" t="s">
        <v>92</v>
      </c>
      <c r="D23" t="s">
        <v>142</v>
      </c>
      <c r="E23" t="s">
        <v>143</v>
      </c>
      <c r="F23" t="s">
        <v>165</v>
      </c>
      <c r="G23" t="s">
        <v>166</v>
      </c>
      <c r="H23" t="s">
        <v>48</v>
      </c>
      <c r="I23" s="6">
        <v>4250</v>
      </c>
      <c r="J23" s="9">
        <v>901</v>
      </c>
      <c r="K23" s="7">
        <f t="shared" si="0"/>
        <v>0.21199999999999999</v>
      </c>
    </row>
    <row r="24" spans="2:11" x14ac:dyDescent="0.25">
      <c r="B24" s="5">
        <v>45079</v>
      </c>
      <c r="C24" t="s">
        <v>93</v>
      </c>
      <c r="D24" t="s">
        <v>144</v>
      </c>
      <c r="E24" t="s">
        <v>145</v>
      </c>
      <c r="F24" t="s">
        <v>165</v>
      </c>
      <c r="G24" t="s">
        <v>166</v>
      </c>
      <c r="H24" t="s">
        <v>49</v>
      </c>
      <c r="I24" s="6">
        <v>5250</v>
      </c>
      <c r="J24" s="9">
        <v>1349</v>
      </c>
      <c r="K24" s="7">
        <f t="shared" si="0"/>
        <v>0.25695238095238093</v>
      </c>
    </row>
    <row r="25" spans="2:11" x14ac:dyDescent="0.25">
      <c r="B25" s="5">
        <v>45079</v>
      </c>
      <c r="C25" t="s">
        <v>94</v>
      </c>
      <c r="D25" t="s">
        <v>146</v>
      </c>
      <c r="E25" t="s">
        <v>147</v>
      </c>
      <c r="F25" t="s">
        <v>159</v>
      </c>
      <c r="G25" t="s">
        <v>164</v>
      </c>
      <c r="H25" t="s">
        <v>49</v>
      </c>
      <c r="I25" s="6">
        <v>6500</v>
      </c>
      <c r="J25" s="9">
        <v>1288</v>
      </c>
      <c r="K25" s="7">
        <f t="shared" si="0"/>
        <v>0.19815384615384615</v>
      </c>
    </row>
    <row r="26" spans="2:11" x14ac:dyDescent="0.25">
      <c r="B26" s="5">
        <v>45079</v>
      </c>
      <c r="C26" t="s">
        <v>95</v>
      </c>
      <c r="D26" t="s">
        <v>148</v>
      </c>
      <c r="E26" t="s">
        <v>149</v>
      </c>
      <c r="F26" t="s">
        <v>159</v>
      </c>
      <c r="G26" t="s">
        <v>164</v>
      </c>
      <c r="H26" t="s">
        <v>49</v>
      </c>
      <c r="I26" s="6">
        <v>7500</v>
      </c>
      <c r="J26" s="9">
        <v>1664</v>
      </c>
      <c r="K26" s="7">
        <f t="shared" si="0"/>
        <v>0.22186666666666666</v>
      </c>
    </row>
    <row r="27" spans="2:11" x14ac:dyDescent="0.25">
      <c r="B27" s="5">
        <v>45079</v>
      </c>
      <c r="C27" t="s">
        <v>96</v>
      </c>
      <c r="D27" t="s">
        <v>150</v>
      </c>
      <c r="E27" t="s">
        <v>151</v>
      </c>
      <c r="F27" t="s">
        <v>159</v>
      </c>
      <c r="G27" t="s">
        <v>164</v>
      </c>
      <c r="H27" t="s">
        <v>51</v>
      </c>
      <c r="I27" s="6">
        <v>5500</v>
      </c>
      <c r="J27" s="9">
        <v>1320</v>
      </c>
      <c r="K27" s="7">
        <f t="shared" si="0"/>
        <v>0.24</v>
      </c>
    </row>
    <row r="28" spans="2:11" x14ac:dyDescent="0.25">
      <c r="B28" s="5">
        <v>45079</v>
      </c>
      <c r="C28" t="s">
        <v>97</v>
      </c>
      <c r="D28" t="s">
        <v>152</v>
      </c>
      <c r="E28" t="s">
        <v>153</v>
      </c>
      <c r="F28" t="s">
        <v>159</v>
      </c>
      <c r="G28" t="s">
        <v>164</v>
      </c>
      <c r="H28" t="s">
        <v>51</v>
      </c>
      <c r="I28" s="6">
        <v>4625</v>
      </c>
      <c r="J28" s="9">
        <v>1001</v>
      </c>
      <c r="K28" s="7">
        <f t="shared" si="0"/>
        <v>0.21643243243243243</v>
      </c>
    </row>
    <row r="29" spans="2:11" x14ac:dyDescent="0.25">
      <c r="B29" s="5">
        <v>45079</v>
      </c>
      <c r="C29" t="s">
        <v>98</v>
      </c>
      <c r="D29" t="s">
        <v>154</v>
      </c>
      <c r="E29" t="s">
        <v>155</v>
      </c>
      <c r="F29" t="s">
        <v>159</v>
      </c>
      <c r="G29" t="s">
        <v>164</v>
      </c>
      <c r="H29" t="s">
        <v>51</v>
      </c>
      <c r="I29" s="6">
        <v>4500</v>
      </c>
      <c r="J29" s="9">
        <v>960</v>
      </c>
      <c r="K29" s="7">
        <f t="shared" si="0"/>
        <v>0.21333333333333335</v>
      </c>
    </row>
    <row r="30" spans="2:11" x14ac:dyDescent="0.25">
      <c r="B30" s="5">
        <v>45079</v>
      </c>
      <c r="C30" t="s">
        <v>99</v>
      </c>
      <c r="D30" t="s">
        <v>156</v>
      </c>
      <c r="E30" t="s">
        <v>157</v>
      </c>
      <c r="F30" t="s">
        <v>159</v>
      </c>
      <c r="G30" t="s">
        <v>164</v>
      </c>
      <c r="H30" t="s">
        <v>48</v>
      </c>
      <c r="I30" s="6">
        <v>5400</v>
      </c>
      <c r="J30" s="9">
        <v>540</v>
      </c>
      <c r="K30" s="7">
        <f t="shared" si="0"/>
        <v>0.1</v>
      </c>
    </row>
    <row r="31" spans="2:11" x14ac:dyDescent="0.25">
      <c r="F31" s="1"/>
      <c r="G31" s="1"/>
    </row>
    <row r="35" spans="6:7" x14ac:dyDescent="0.25">
      <c r="F35" s="1"/>
      <c r="G35" s="1"/>
    </row>
    <row r="36" spans="6:7" x14ac:dyDescent="0.25">
      <c r="F36" s="1"/>
      <c r="G36" s="1"/>
    </row>
    <row r="37" spans="6:7" x14ac:dyDescent="0.25">
      <c r="F37" s="1"/>
      <c r="G37" s="1"/>
    </row>
    <row r="38" spans="6:7" x14ac:dyDescent="0.25">
      <c r="F38" s="1"/>
      <c r="G38" s="1"/>
    </row>
    <row r="39" spans="6:7" x14ac:dyDescent="0.25">
      <c r="F39" s="1"/>
      <c r="G39" s="1"/>
    </row>
    <row r="40" spans="6:7" x14ac:dyDescent="0.25">
      <c r="F40" s="1"/>
      <c r="G40" s="1"/>
    </row>
    <row r="41" spans="6:7" x14ac:dyDescent="0.25">
      <c r="F41" s="1"/>
      <c r="G41" s="1"/>
    </row>
    <row r="42" spans="6:7" x14ac:dyDescent="0.25">
      <c r="F42" s="1"/>
      <c r="G42" s="1"/>
    </row>
  </sheetData>
  <conditionalFormatting sqref="B31:I31 B2:K30">
    <cfRule type="duplicateValues" dxfId="1377" priority="2"/>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2"/>
  <sheetViews>
    <sheetView zoomScale="115" zoomScaleNormal="115" workbookViewId="0">
      <selection activeCell="C20" sqref="C20"/>
    </sheetView>
  </sheetViews>
  <sheetFormatPr defaultColWidth="11" defaultRowHeight="15.75" x14ac:dyDescent="0.25"/>
  <cols>
    <col min="1" max="1" width="3.5" customWidth="1"/>
    <col min="2" max="2" width="8.125" customWidth="1"/>
    <col min="3" max="3" width="21" customWidth="1"/>
    <col min="4" max="4" width="16.875" bestFit="1" customWidth="1"/>
    <col min="5" max="5" width="20.625" customWidth="1"/>
    <col min="6" max="6" width="14.25" customWidth="1"/>
    <col min="7" max="7" width="13.625" customWidth="1"/>
    <col min="8" max="8" width="9.5" customWidth="1"/>
    <col min="9" max="9" width="18.125" bestFit="1" customWidth="1"/>
  </cols>
  <sheetData>
    <row r="2" spans="2:9" ht="23.25" x14ac:dyDescent="0.35">
      <c r="B2" s="4" t="s">
        <v>0</v>
      </c>
      <c r="C2" s="4" t="s">
        <v>5</v>
      </c>
      <c r="D2" s="4" t="s">
        <v>1</v>
      </c>
      <c r="E2" s="4" t="s">
        <v>6</v>
      </c>
      <c r="F2" s="4" t="s">
        <v>47</v>
      </c>
      <c r="G2" s="4" t="s">
        <v>2</v>
      </c>
      <c r="H2" s="4" t="s">
        <v>3</v>
      </c>
      <c r="I2" s="4" t="s">
        <v>4</v>
      </c>
    </row>
    <row r="3" spans="2:9" x14ac:dyDescent="0.25">
      <c r="B3" s="3">
        <v>45076</v>
      </c>
      <c r="C3" t="s">
        <v>7</v>
      </c>
      <c r="D3" t="s">
        <v>40</v>
      </c>
      <c r="E3" t="s">
        <v>68</v>
      </c>
      <c r="F3" t="s">
        <v>51</v>
      </c>
      <c r="G3" s="1">
        <v>4500</v>
      </c>
      <c r="H3" s="1">
        <v>598</v>
      </c>
      <c r="I3" s="2">
        <f>H3/G3</f>
        <v>0.13288888888888889</v>
      </c>
    </row>
    <row r="4" spans="2:9" x14ac:dyDescent="0.25">
      <c r="B4" s="3">
        <v>45076</v>
      </c>
      <c r="C4" t="s">
        <v>8</v>
      </c>
      <c r="D4" t="s">
        <v>41</v>
      </c>
      <c r="E4" t="s">
        <v>69</v>
      </c>
      <c r="F4" t="s">
        <v>49</v>
      </c>
      <c r="G4" s="1">
        <v>3800</v>
      </c>
      <c r="H4" s="1">
        <v>1045</v>
      </c>
      <c r="I4" s="2">
        <f t="shared" ref="I4:I32" si="0">H4/G4</f>
        <v>0.27500000000000002</v>
      </c>
    </row>
    <row r="5" spans="2:9" x14ac:dyDescent="0.25">
      <c r="B5" s="3">
        <v>45076</v>
      </c>
      <c r="C5" t="s">
        <v>9</v>
      </c>
      <c r="D5" t="s">
        <v>42</v>
      </c>
      <c r="E5" t="s">
        <v>69</v>
      </c>
      <c r="G5" s="1">
        <v>3712.5</v>
      </c>
      <c r="H5" s="1">
        <v>1009</v>
      </c>
      <c r="I5" s="2">
        <f t="shared" si="0"/>
        <v>0.2717845117845118</v>
      </c>
    </row>
    <row r="6" spans="2:9" x14ac:dyDescent="0.25">
      <c r="B6" s="3">
        <v>45076</v>
      </c>
      <c r="C6" t="s">
        <v>10</v>
      </c>
      <c r="D6" t="s">
        <v>35</v>
      </c>
      <c r="E6" t="s">
        <v>70</v>
      </c>
      <c r="G6" s="1"/>
      <c r="H6" s="1">
        <v>779</v>
      </c>
      <c r="I6" s="2" t="e">
        <f>H6/G6</f>
        <v>#DIV/0!</v>
      </c>
    </row>
    <row r="7" spans="2:9" x14ac:dyDescent="0.25">
      <c r="B7" s="3">
        <v>45076</v>
      </c>
      <c r="C7" t="s">
        <v>11</v>
      </c>
      <c r="D7" t="s">
        <v>43</v>
      </c>
      <c r="E7" t="s">
        <v>70</v>
      </c>
      <c r="F7" t="s">
        <v>50</v>
      </c>
      <c r="G7" s="1">
        <v>5000</v>
      </c>
      <c r="H7" s="1">
        <v>684</v>
      </c>
      <c r="I7" s="2">
        <f>H7/G7</f>
        <v>0.1368</v>
      </c>
    </row>
    <row r="8" spans="2:9" x14ac:dyDescent="0.25">
      <c r="B8" s="3">
        <v>45077</v>
      </c>
      <c r="C8" t="s">
        <v>12</v>
      </c>
      <c r="D8" t="s">
        <v>44</v>
      </c>
      <c r="E8" t="s">
        <v>68</v>
      </c>
      <c r="F8" t="s">
        <v>51</v>
      </c>
      <c r="G8" s="1">
        <v>6100</v>
      </c>
      <c r="H8" s="1">
        <v>544</v>
      </c>
      <c r="I8" s="2">
        <f t="shared" si="0"/>
        <v>8.9180327868852466E-2</v>
      </c>
    </row>
    <row r="9" spans="2:9" x14ac:dyDescent="0.25">
      <c r="B9" s="3">
        <v>45077</v>
      </c>
      <c r="C9" t="s">
        <v>13</v>
      </c>
      <c r="D9" t="s">
        <v>45</v>
      </c>
      <c r="E9" t="s">
        <v>68</v>
      </c>
      <c r="F9" t="s">
        <v>51</v>
      </c>
      <c r="G9" s="1">
        <v>4625</v>
      </c>
      <c r="H9" s="1">
        <v>670</v>
      </c>
      <c r="I9" s="2">
        <f t="shared" si="0"/>
        <v>0.14486486486486486</v>
      </c>
    </row>
    <row r="10" spans="2:9" ht="164.25" customHeight="1" x14ac:dyDescent="0.25">
      <c r="B10" s="3">
        <v>45077</v>
      </c>
      <c r="C10" t="s">
        <v>14</v>
      </c>
      <c r="D10" t="s">
        <v>46</v>
      </c>
      <c r="E10" t="s">
        <v>68</v>
      </c>
      <c r="F10" t="s">
        <v>51</v>
      </c>
      <c r="G10" s="1">
        <v>3800</v>
      </c>
      <c r="H10" s="1">
        <v>2045</v>
      </c>
      <c r="I10" s="2">
        <f>H10/G10</f>
        <v>0.53815789473684206</v>
      </c>
    </row>
    <row r="11" spans="2:9" x14ac:dyDescent="0.25">
      <c r="B11" s="3">
        <v>45077</v>
      </c>
      <c r="C11" t="s">
        <v>15</v>
      </c>
      <c r="D11" t="s">
        <v>36</v>
      </c>
      <c r="E11" t="s">
        <v>68</v>
      </c>
      <c r="F11" t="s">
        <v>48</v>
      </c>
      <c r="G11" s="1">
        <v>3600</v>
      </c>
      <c r="H11" s="1">
        <v>1564</v>
      </c>
      <c r="I11" s="2">
        <f t="shared" si="0"/>
        <v>0.43444444444444447</v>
      </c>
    </row>
    <row r="12" spans="2:9" x14ac:dyDescent="0.25">
      <c r="B12" s="3">
        <v>45077</v>
      </c>
      <c r="C12" t="s">
        <v>16</v>
      </c>
      <c r="D12" t="s">
        <v>37</v>
      </c>
      <c r="E12" t="s">
        <v>68</v>
      </c>
      <c r="F12" t="s">
        <v>50</v>
      </c>
      <c r="G12" s="1">
        <v>5100</v>
      </c>
      <c r="H12" s="1">
        <v>1220</v>
      </c>
      <c r="I12" s="2">
        <f t="shared" si="0"/>
        <v>0.23921568627450981</v>
      </c>
    </row>
    <row r="13" spans="2:9" x14ac:dyDescent="0.25">
      <c r="B13" s="3">
        <v>45077</v>
      </c>
      <c r="C13" t="s">
        <v>17</v>
      </c>
      <c r="D13" t="s">
        <v>52</v>
      </c>
      <c r="E13" t="s">
        <v>68</v>
      </c>
      <c r="F13" t="s">
        <v>50</v>
      </c>
      <c r="G13" s="1">
        <v>4750</v>
      </c>
      <c r="H13" s="1">
        <v>1435</v>
      </c>
      <c r="I13" s="2">
        <f t="shared" si="0"/>
        <v>0.30210526315789471</v>
      </c>
    </row>
    <row r="14" spans="2:9" x14ac:dyDescent="0.25">
      <c r="B14" s="3">
        <v>45077</v>
      </c>
      <c r="C14" t="s">
        <v>18</v>
      </c>
      <c r="D14" t="s">
        <v>53</v>
      </c>
      <c r="E14" t="s">
        <v>70</v>
      </c>
      <c r="F14" t="s">
        <v>51</v>
      </c>
      <c r="G14" s="1">
        <v>6000</v>
      </c>
      <c r="H14" s="1">
        <v>998</v>
      </c>
      <c r="I14" s="2">
        <f t="shared" si="0"/>
        <v>0.16633333333333333</v>
      </c>
    </row>
    <row r="15" spans="2:9" x14ac:dyDescent="0.25">
      <c r="B15" s="3">
        <v>45077</v>
      </c>
      <c r="C15" t="s">
        <v>19</v>
      </c>
      <c r="D15" t="s">
        <v>54</v>
      </c>
      <c r="E15" t="s">
        <v>71</v>
      </c>
      <c r="F15" t="s">
        <v>50</v>
      </c>
      <c r="G15" s="1">
        <v>4500</v>
      </c>
      <c r="H15" s="1">
        <v>780</v>
      </c>
      <c r="I15" s="2">
        <f t="shared" si="0"/>
        <v>0.17333333333333334</v>
      </c>
    </row>
    <row r="16" spans="2:9" x14ac:dyDescent="0.25">
      <c r="B16" s="3">
        <v>45078</v>
      </c>
      <c r="C16" t="s">
        <v>20</v>
      </c>
      <c r="D16" t="s">
        <v>38</v>
      </c>
      <c r="E16" t="s">
        <v>71</v>
      </c>
      <c r="F16" t="s">
        <v>48</v>
      </c>
      <c r="G16" s="1"/>
      <c r="H16" s="1">
        <v>1044</v>
      </c>
      <c r="I16" s="2" t="e">
        <f t="shared" si="0"/>
        <v>#DIV/0!</v>
      </c>
    </row>
    <row r="17" spans="2:9" x14ac:dyDescent="0.25">
      <c r="B17" s="3">
        <v>45078</v>
      </c>
      <c r="C17" t="s">
        <v>21</v>
      </c>
      <c r="D17" t="s">
        <v>55</v>
      </c>
      <c r="E17" t="s">
        <v>71</v>
      </c>
      <c r="F17" t="s">
        <v>51</v>
      </c>
      <c r="G17" s="1">
        <v>3712.5</v>
      </c>
      <c r="H17" s="1">
        <v>1222</v>
      </c>
      <c r="I17" s="2">
        <f t="shared" si="0"/>
        <v>0.32915824915824915</v>
      </c>
    </row>
    <row r="18" spans="2:9" x14ac:dyDescent="0.25">
      <c r="B18" s="3">
        <v>45078</v>
      </c>
      <c r="C18" t="s">
        <v>22</v>
      </c>
      <c r="D18" t="s">
        <v>56</v>
      </c>
      <c r="E18" t="s">
        <v>71</v>
      </c>
      <c r="F18" t="s">
        <v>51</v>
      </c>
      <c r="G18" s="1">
        <v>4950</v>
      </c>
      <c r="H18" s="1">
        <v>1065</v>
      </c>
      <c r="I18" s="2">
        <f t="shared" si="0"/>
        <v>0.21515151515151515</v>
      </c>
    </row>
    <row r="19" spans="2:9" x14ac:dyDescent="0.25">
      <c r="B19" s="3">
        <v>45078</v>
      </c>
      <c r="C19" t="s">
        <v>23</v>
      </c>
      <c r="D19" t="s">
        <v>57</v>
      </c>
      <c r="E19" t="s">
        <v>70</v>
      </c>
      <c r="F19" t="s">
        <v>51</v>
      </c>
      <c r="G19" s="1">
        <v>4750</v>
      </c>
      <c r="H19" s="1">
        <v>810</v>
      </c>
      <c r="I19" s="2">
        <f t="shared" si="0"/>
        <v>0.17052631578947369</v>
      </c>
    </row>
    <row r="20" spans="2:9" ht="159.75" customHeight="1" x14ac:dyDescent="0.25">
      <c r="B20" s="3">
        <v>45078</v>
      </c>
      <c r="C20" t="s">
        <v>24</v>
      </c>
      <c r="D20" t="s">
        <v>58</v>
      </c>
      <c r="E20" t="s">
        <v>70</v>
      </c>
      <c r="F20" t="s">
        <v>51</v>
      </c>
      <c r="G20" s="1">
        <v>7320</v>
      </c>
      <c r="H20" s="1">
        <v>933</v>
      </c>
      <c r="I20" s="2">
        <f t="shared" si="0"/>
        <v>0.12745901639344262</v>
      </c>
    </row>
    <row r="21" spans="2:9" x14ac:dyDescent="0.25">
      <c r="B21" s="3">
        <v>45077</v>
      </c>
      <c r="C21" t="s">
        <v>18</v>
      </c>
      <c r="D21" t="s">
        <v>53</v>
      </c>
      <c r="E21" t="s">
        <v>70</v>
      </c>
      <c r="F21" t="s">
        <v>51</v>
      </c>
      <c r="G21" s="1">
        <v>6000</v>
      </c>
      <c r="H21" s="1">
        <v>998</v>
      </c>
      <c r="I21" s="2">
        <f t="shared" ref="I21:I22" si="1">H21/G21</f>
        <v>0.16633333333333333</v>
      </c>
    </row>
    <row r="22" spans="2:9" x14ac:dyDescent="0.25">
      <c r="B22" s="3">
        <v>45077</v>
      </c>
      <c r="C22" t="s">
        <v>19</v>
      </c>
      <c r="D22" t="s">
        <v>54</v>
      </c>
      <c r="E22" t="s">
        <v>71</v>
      </c>
      <c r="F22" t="s">
        <v>50</v>
      </c>
      <c r="G22" s="1">
        <v>4500</v>
      </c>
      <c r="H22" s="1">
        <v>780</v>
      </c>
      <c r="I22" s="2">
        <f t="shared" si="1"/>
        <v>0.17333333333333334</v>
      </c>
    </row>
    <row r="23" spans="2:9" x14ac:dyDescent="0.25">
      <c r="B23" s="3">
        <v>45078</v>
      </c>
      <c r="C23" t="s">
        <v>25</v>
      </c>
      <c r="D23" t="s">
        <v>59</v>
      </c>
      <c r="E23" t="s">
        <v>71</v>
      </c>
      <c r="F23" t="s">
        <v>51</v>
      </c>
      <c r="G23" s="1">
        <v>5087.5</v>
      </c>
      <c r="H23" s="1">
        <v>655</v>
      </c>
      <c r="I23" s="2">
        <f t="shared" si="0"/>
        <v>0.12874692874692875</v>
      </c>
    </row>
    <row r="24" spans="2:9" x14ac:dyDescent="0.25">
      <c r="B24" s="3">
        <v>45078</v>
      </c>
      <c r="C24" t="s">
        <v>26</v>
      </c>
      <c r="D24" t="s">
        <v>60</v>
      </c>
      <c r="E24" t="s">
        <v>71</v>
      </c>
      <c r="F24" t="s">
        <v>51</v>
      </c>
      <c r="G24" s="1">
        <v>4500</v>
      </c>
      <c r="H24" s="1">
        <v>722</v>
      </c>
      <c r="I24" s="2">
        <f t="shared" si="0"/>
        <v>0.16044444444444445</v>
      </c>
    </row>
    <row r="25" spans="2:9" x14ac:dyDescent="0.25">
      <c r="B25" s="3">
        <v>45078</v>
      </c>
      <c r="C25" t="s">
        <v>27</v>
      </c>
      <c r="D25" t="s">
        <v>61</v>
      </c>
      <c r="E25" t="s">
        <v>71</v>
      </c>
      <c r="F25" t="s">
        <v>48</v>
      </c>
      <c r="G25" s="1">
        <v>4250</v>
      </c>
      <c r="H25" s="1">
        <v>901</v>
      </c>
      <c r="I25" s="2">
        <f t="shared" si="0"/>
        <v>0.21199999999999999</v>
      </c>
    </row>
    <row r="26" spans="2:9" x14ac:dyDescent="0.25">
      <c r="B26" s="3">
        <v>45079</v>
      </c>
      <c r="C26" t="s">
        <v>28</v>
      </c>
      <c r="D26" t="s">
        <v>62</v>
      </c>
      <c r="E26" t="s">
        <v>71</v>
      </c>
      <c r="F26" t="s">
        <v>49</v>
      </c>
      <c r="G26" s="1">
        <v>5250</v>
      </c>
      <c r="H26" s="1">
        <v>1349</v>
      </c>
      <c r="I26" s="2">
        <f t="shared" si="0"/>
        <v>0.25695238095238093</v>
      </c>
    </row>
    <row r="27" spans="2:9" x14ac:dyDescent="0.25">
      <c r="B27" s="3">
        <v>45079</v>
      </c>
      <c r="C27" t="s">
        <v>29</v>
      </c>
      <c r="D27" t="s">
        <v>63</v>
      </c>
      <c r="E27" t="s">
        <v>69</v>
      </c>
      <c r="F27" t="s">
        <v>49</v>
      </c>
      <c r="G27" s="1">
        <v>6500</v>
      </c>
      <c r="H27" s="1">
        <v>1288</v>
      </c>
      <c r="I27" s="2">
        <f t="shared" si="0"/>
        <v>0.19815384615384615</v>
      </c>
    </row>
    <row r="28" spans="2:9" x14ac:dyDescent="0.25">
      <c r="B28" s="3">
        <v>45079</v>
      </c>
      <c r="C28" t="s">
        <v>30</v>
      </c>
      <c r="D28" t="s">
        <v>64</v>
      </c>
      <c r="E28" t="s">
        <v>69</v>
      </c>
      <c r="F28" t="s">
        <v>49</v>
      </c>
      <c r="G28" s="1">
        <v>7500</v>
      </c>
      <c r="H28" s="1">
        <v>1664</v>
      </c>
      <c r="I28" s="2">
        <f t="shared" si="0"/>
        <v>0.22186666666666666</v>
      </c>
    </row>
    <row r="29" spans="2:9" x14ac:dyDescent="0.25">
      <c r="B29" s="3">
        <v>45079</v>
      </c>
      <c r="C29" t="s">
        <v>31</v>
      </c>
      <c r="D29" t="s">
        <v>65</v>
      </c>
      <c r="E29" t="s">
        <v>69</v>
      </c>
      <c r="F29" t="s">
        <v>51</v>
      </c>
      <c r="G29" s="1">
        <v>5500</v>
      </c>
      <c r="H29" s="1">
        <v>1320</v>
      </c>
      <c r="I29" s="2">
        <f t="shared" si="0"/>
        <v>0.24</v>
      </c>
    </row>
    <row r="30" spans="2:9" x14ac:dyDescent="0.25">
      <c r="B30" s="3">
        <v>45079</v>
      </c>
      <c r="C30" t="s">
        <v>32</v>
      </c>
      <c r="D30" t="s">
        <v>66</v>
      </c>
      <c r="E30" t="s">
        <v>69</v>
      </c>
      <c r="F30" t="s">
        <v>51</v>
      </c>
      <c r="G30" s="1">
        <v>4625</v>
      </c>
      <c r="H30" s="1">
        <v>1001</v>
      </c>
      <c r="I30" s="2">
        <f t="shared" si="0"/>
        <v>0.21643243243243243</v>
      </c>
    </row>
    <row r="31" spans="2:9" x14ac:dyDescent="0.25">
      <c r="B31" s="3">
        <v>45079</v>
      </c>
      <c r="C31" t="s">
        <v>33</v>
      </c>
      <c r="D31" t="s">
        <v>67</v>
      </c>
      <c r="E31" t="s">
        <v>69</v>
      </c>
      <c r="F31" t="s">
        <v>51</v>
      </c>
      <c r="G31" s="1">
        <v>4500</v>
      </c>
      <c r="H31" s="1">
        <v>960</v>
      </c>
      <c r="I31" s="2">
        <f t="shared" si="0"/>
        <v>0.21333333333333335</v>
      </c>
    </row>
    <row r="32" spans="2:9" x14ac:dyDescent="0.25">
      <c r="B32" s="3">
        <v>45079</v>
      </c>
      <c r="C32" t="s">
        <v>34</v>
      </c>
      <c r="D32" t="s">
        <v>39</v>
      </c>
      <c r="E32" t="s">
        <v>69</v>
      </c>
      <c r="F32" t="s">
        <v>48</v>
      </c>
      <c r="G32" s="1">
        <v>5400</v>
      </c>
      <c r="H32" s="1">
        <v>540</v>
      </c>
      <c r="I32" s="2">
        <f t="shared" si="0"/>
        <v>0.1</v>
      </c>
    </row>
    <row r="33" spans="2:9" x14ac:dyDescent="0.25">
      <c r="B33" s="3">
        <v>45076</v>
      </c>
      <c r="C33" t="s">
        <v>11</v>
      </c>
      <c r="D33" t="s">
        <v>43</v>
      </c>
      <c r="E33" t="s">
        <v>70</v>
      </c>
      <c r="F33" t="s">
        <v>50</v>
      </c>
      <c r="G33" s="1">
        <v>5000</v>
      </c>
      <c r="H33" s="1">
        <v>684</v>
      </c>
      <c r="I33" s="2">
        <f t="shared" ref="I33" si="2">H33/G33</f>
        <v>0.1368</v>
      </c>
    </row>
    <row r="34" spans="2:9" x14ac:dyDescent="0.25">
      <c r="G34" s="1"/>
    </row>
    <row r="35" spans="2:9" x14ac:dyDescent="0.25">
      <c r="G35" s="1"/>
    </row>
    <row r="36" spans="2:9" x14ac:dyDescent="0.25">
      <c r="G36" s="1"/>
    </row>
    <row r="37" spans="2:9" x14ac:dyDescent="0.25">
      <c r="G37" s="1"/>
    </row>
    <row r="38" spans="2:9" x14ac:dyDescent="0.25">
      <c r="G38" s="1"/>
    </row>
    <row r="39" spans="2:9" x14ac:dyDescent="0.25">
      <c r="G39" s="1"/>
    </row>
    <row r="40" spans="2:9" x14ac:dyDescent="0.25">
      <c r="G40" s="1"/>
    </row>
    <row r="41" spans="2:9" x14ac:dyDescent="0.25">
      <c r="G41" s="1"/>
    </row>
    <row r="42" spans="2:9" x14ac:dyDescent="0.25">
      <c r="G42"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CB35B9C-991D-420B-A770-CCD8927397EC}">
  <ds:schemaRefs/>
</ds:datastoreItem>
</file>

<file path=customXml/itemProps2.xml><?xml version="1.0" encoding="utf-8"?>
<ds:datastoreItem xmlns:ds="http://schemas.openxmlformats.org/officeDocument/2006/customXml" ds:itemID="{43F341EA-9C76-4BD5-BF9E-131EE33D707B}">
  <ds:schemaRefs/>
</ds:datastoreItem>
</file>

<file path=customXml/itemProps3.xml><?xml version="1.0" encoding="utf-8"?>
<ds:datastoreItem xmlns:ds="http://schemas.openxmlformats.org/officeDocument/2006/customXml" ds:itemID="{D467AE39-F334-4AED-A479-C59D039E0C91}">
  <ds:schemaRefs/>
</ds:datastoreItem>
</file>

<file path=customXml/itemProps4.xml><?xml version="1.0" encoding="utf-8"?>
<ds:datastoreItem xmlns:ds="http://schemas.openxmlformats.org/officeDocument/2006/customXml" ds:itemID="{8A976817-4108-4DAC-B970-E18F4EE46EEA}">
  <ds:schemaRefs/>
</ds:datastoreItem>
</file>

<file path=customXml/itemProps5.xml><?xml version="1.0" encoding="utf-8"?>
<ds:datastoreItem xmlns:ds="http://schemas.openxmlformats.org/officeDocument/2006/customXml" ds:itemID="{FACA6A12-BDA4-4BAC-8349-CCDDFFABEBBB}">
  <ds:schemaRefs/>
</ds:datastoreItem>
</file>

<file path=customXml/itemProps6.xml><?xml version="1.0" encoding="utf-8"?>
<ds:datastoreItem xmlns:ds="http://schemas.openxmlformats.org/officeDocument/2006/customXml" ds:itemID="{51EFFE73-5FF9-4C10-9AD0-E89A9D3DD2D9}">
  <ds:schemaRefs/>
</ds:datastoreItem>
</file>

<file path=customXml/itemProps7.xml><?xml version="1.0" encoding="utf-8"?>
<ds:datastoreItem xmlns:ds="http://schemas.openxmlformats.org/officeDocument/2006/customXml" ds:itemID="{2053CC67-96D0-4F2D-83D6-8D79EB0C3AC0}">
  <ds:schemaRefs/>
</ds:datastoreItem>
</file>

<file path=customXml/itemProps8.xml><?xml version="1.0" encoding="utf-8"?>
<ds:datastoreItem xmlns:ds="http://schemas.openxmlformats.org/officeDocument/2006/customXml" ds:itemID="{DCC02CB2-11E5-4763-AEC5-561988660E80}">
  <ds:schemaRefs/>
</ds:datastoreItem>
</file>

<file path=customXml/itemProps9.xml><?xml version="1.0" encoding="utf-8"?>
<ds:datastoreItem xmlns:ds="http://schemas.openxmlformats.org/officeDocument/2006/customXml" ds:itemID="{DAF48F55-3DDE-421C-BAD3-502668BC40F5}">
  <ds:schemaRefs/>
</ds:datastoreItem>
</file>

<file path=customXml/itemProps10.xml><?xml version="1.0" encoding="utf-8"?>
<ds:datastoreItem xmlns:ds="http://schemas.openxmlformats.org/officeDocument/2006/customXml" ds:itemID="{35D49584-0AE1-4239-9324-C26E4783E7B2}">
  <ds:schemaRefs/>
</ds:datastoreItem>
</file>

<file path=customXml/itemProps11.xml><?xml version="1.0" encoding="utf-8"?>
<ds:datastoreItem xmlns:ds="http://schemas.openxmlformats.org/officeDocument/2006/customXml" ds:itemID="{741114A9-A6FD-45D8-A947-B1B6A0BDACE3}">
  <ds:schemaRefs/>
</ds:datastoreItem>
</file>

<file path=customXml/itemProps12.xml><?xml version="1.0" encoding="utf-8"?>
<ds:datastoreItem xmlns:ds="http://schemas.openxmlformats.org/officeDocument/2006/customXml" ds:itemID="{945C5ED0-55D7-422A-AAA3-BE3705FD2748}">
  <ds:schemaRefs/>
</ds:datastoreItem>
</file>

<file path=customXml/itemProps13.xml><?xml version="1.0" encoding="utf-8"?>
<ds:datastoreItem xmlns:ds="http://schemas.openxmlformats.org/officeDocument/2006/customXml" ds:itemID="{C403933A-67B5-4864-B834-48A45598FC53}">
  <ds:schemaRefs/>
</ds:datastoreItem>
</file>

<file path=customXml/itemProps14.xml><?xml version="1.0" encoding="utf-8"?>
<ds:datastoreItem xmlns:ds="http://schemas.openxmlformats.org/officeDocument/2006/customXml" ds:itemID="{42AE3079-2BC3-409D-8D6A-482B8CE3FFB0}">
  <ds:schemaRefs/>
</ds:datastoreItem>
</file>

<file path=customXml/itemProps15.xml><?xml version="1.0" encoding="utf-8"?>
<ds:datastoreItem xmlns:ds="http://schemas.openxmlformats.org/officeDocument/2006/customXml" ds:itemID="{22C9323E-FC6A-48CA-95EE-F6BB385B4A3D}">
  <ds:schemaRefs/>
</ds:datastoreItem>
</file>

<file path=customXml/itemProps16.xml><?xml version="1.0" encoding="utf-8"?>
<ds:datastoreItem xmlns:ds="http://schemas.openxmlformats.org/officeDocument/2006/customXml" ds:itemID="{331AA31F-48B5-4384-B53B-C74030C2B324}">
  <ds:schemaRefs/>
</ds:datastoreItem>
</file>

<file path=customXml/itemProps17.xml><?xml version="1.0" encoding="utf-8"?>
<ds:datastoreItem xmlns:ds="http://schemas.openxmlformats.org/officeDocument/2006/customXml" ds:itemID="{A55BD123-FBA0-4A4D-8B94-3414E1A60A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Revenue Table</vt:lpstr>
      <vt:lpstr>Payment_Dim</vt:lpstr>
      <vt:lpstr>State_Dim</vt:lpstr>
      <vt:lpstr>Departmen_Dim</vt:lpstr>
      <vt:lpstr>Client_Dim</vt:lpstr>
      <vt:lpstr>Sheet2</vt:lpstr>
      <vt:lpstr>Sheet4</vt:lpstr>
      <vt:lpstr>Sheet3</vt:lpstr>
      <vt:lpstr>Sheet1</vt:lpstr>
      <vt:lpstr>Sales Dashboard</vt:lpstr>
      <vt:lpstr>Revenue_Fact</vt:lpstr>
      <vt:lpstr>Cleaning Dataset</vt:lpstr>
      <vt:lpstr>Dirty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COMLAB</cp:lastModifiedBy>
  <cp:lastPrinted>2026-02-20T10:24:04Z</cp:lastPrinted>
  <dcterms:created xsi:type="dcterms:W3CDTF">2023-05-29T07:26:35Z</dcterms:created>
  <dcterms:modified xsi:type="dcterms:W3CDTF">2026-02-20T10:24:25Z</dcterms:modified>
</cp:coreProperties>
</file>