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tabRatio="724" activeTab="1"/>
  </bookViews>
  <sheets>
    <sheet name="CLEAN_DATA" sheetId="11" r:id="rId1"/>
    <sheet name="reveue_fact" sheetId="10" r:id="rId2"/>
    <sheet name="payment_dim" sheetId="9" r:id="rId3"/>
    <sheet name="state_dim" sheetId="8" r:id="rId4"/>
    <sheet name="dept_dim" sheetId="7" r:id="rId5"/>
    <sheet name="client_dim" sheetId="6" r:id="rId6"/>
    <sheet name="Dirty Data" sheetId="2" r:id="rId7"/>
    <sheet name="REVENUE (2)" sheetId="12" r:id="rId8"/>
  </sheets>
  <definedNames>
    <definedName name="_xlcn.WorksheetConnection_DAvid_MIKKO.xlsxclient_dim1" hidden="1">client_dim[]</definedName>
    <definedName name="_xlcn.WorksheetConnection_DAvid_MIKKO.xlsxdept_dim1" hidden="1">dept_dim[]</definedName>
    <definedName name="_xlcn.WorksheetConnection_DAvid_MIKKO.xlsxpayment_dim1" hidden="1">payment_dim[]</definedName>
    <definedName name="_xlcn.WorksheetConnection_DAvid_MIKKO.xlsxreveue_fact1" hidden="1">reveue_fact[]</definedName>
    <definedName name="_xlcn.WorksheetConnection_DAvid_MIKKO.xlsxstate_dim1" hidden="1">state_dim[]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ue_fact" name="reveue_fact" connection="WorksheetConnection_DAvid_MIKKO.xlsx!reveue_fact"/>
          <x15:modelTable id="client_dim" name="client_dim" connection="WorksheetConnection_DAvid_MIKKO.xlsx!client_dim"/>
          <x15:modelTable id="dept_dim" name="dept_dim" connection="WorksheetConnection_DAvid_MIKKO.xlsx!dept_dim"/>
          <x15:modelTable id="payment_dim" name="payment_dim" connection="WorksheetConnection_DAvid_MIKKO.xlsx!payment_dim"/>
          <x15:modelTable id="state_dim" name="state_dim" connection="WorksheetConnection_DAvid_MIKKO.xlsx!state_dim"/>
        </x15:modelTables>
        <x15:modelRelationships>
          <x15:modelRelationship fromTable="reveue_fact" fromColumn="CLIENT_ID" toTable="client_dim" toColumn="CLIENT_ID"/>
          <x15:modelRelationship fromTable="reveue_fact" fromColumn="Dept_ID" toTable="dept_dim" toColumn="DEPT_ID"/>
          <x15:modelRelationship fromTable="reveue_fact" fromColumn="Payment_ID" toTable="payment_dim" toColumn="PAYMENT_ID"/>
          <x15:modelRelationship fromTable="reveue_fact" fromColumn="State_ID" toTable="state_dim" toColumn="STAT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2" l="1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K2" i="12"/>
  <c r="H31" i="11"/>
  <c r="J30" i="11"/>
  <c r="J29" i="11"/>
  <c r="J28" i="11"/>
  <c r="J27" i="11"/>
  <c r="J26" i="11"/>
  <c r="J25" i="11"/>
  <c r="J24" i="11"/>
  <c r="J23" i="11"/>
  <c r="J22" i="11"/>
  <c r="J21" i="11"/>
  <c r="J20" i="11"/>
  <c r="J19" i="11"/>
  <c r="J18" i="11"/>
  <c r="J17" i="11"/>
  <c r="J16" i="11"/>
  <c r="J15" i="11"/>
  <c r="J14" i="11"/>
  <c r="J13" i="11"/>
  <c r="J12" i="11"/>
  <c r="J11" i="11"/>
  <c r="J10" i="11"/>
  <c r="J9" i="11"/>
  <c r="J8" i="11"/>
  <c r="J7" i="11"/>
  <c r="J6" i="11"/>
  <c r="J5" i="11"/>
  <c r="J4" i="11"/>
  <c r="J3" i="11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I14" i="10"/>
  <c r="I13" i="10"/>
  <c r="I12" i="10"/>
  <c r="I11" i="10"/>
  <c r="I10" i="10"/>
  <c r="I9" i="10"/>
  <c r="I8" i="10"/>
  <c r="I7" i="10"/>
  <c r="I6" i="10"/>
  <c r="I5" i="10"/>
  <c r="I4" i="10"/>
  <c r="I3" i="10"/>
  <c r="I2" i="10"/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vid_MIKKO.xlsx!client_dim" type="102" refreshedVersion="6" minRefreshableVersion="5">
    <extLst>
      <ext xmlns:x15="http://schemas.microsoft.com/office/spreadsheetml/2010/11/main" uri="{DE250136-89BD-433C-8126-D09CA5730AF9}">
        <x15:connection id="client_dim">
          <x15:rangePr sourceName="_xlcn.WorksheetConnection_DAvid_MIKKO.xlsxclient_dim1"/>
        </x15:connection>
      </ext>
    </extLst>
  </connection>
  <connection id="3" name="WorksheetConnection_DAvid_MIKKO.xlsx!dept_dim" type="102" refreshedVersion="6" minRefreshableVersion="5">
    <extLst>
      <ext xmlns:x15="http://schemas.microsoft.com/office/spreadsheetml/2010/11/main" uri="{DE250136-89BD-433C-8126-D09CA5730AF9}">
        <x15:connection id="dept_dim">
          <x15:rangePr sourceName="_xlcn.WorksheetConnection_DAvid_MIKKO.xlsxdept_dim1"/>
        </x15:connection>
      </ext>
    </extLst>
  </connection>
  <connection id="4" name="WorksheetConnection_DAvid_MIKKO.xlsx!payment_dim" type="102" refreshedVersion="6" minRefreshableVersion="5">
    <extLst>
      <ext xmlns:x15="http://schemas.microsoft.com/office/spreadsheetml/2010/11/main" uri="{DE250136-89BD-433C-8126-D09CA5730AF9}">
        <x15:connection id="payment_dim">
          <x15:rangePr sourceName="_xlcn.WorksheetConnection_DAvid_MIKKO.xlsxpayment_dim1"/>
        </x15:connection>
      </ext>
    </extLst>
  </connection>
  <connection id="5" name="WorksheetConnection_DAvid_MIKKO.xlsx!reveue_fact" type="102" refreshedVersion="6" minRefreshableVersion="5">
    <extLst>
      <ext xmlns:x15="http://schemas.microsoft.com/office/spreadsheetml/2010/11/main" uri="{DE250136-89BD-433C-8126-D09CA5730AF9}">
        <x15:connection id="reveue_fact">
          <x15:rangePr sourceName="_xlcn.WorksheetConnection_DAvid_MIKKO.xlsxreveue_fact1"/>
        </x15:connection>
      </ext>
    </extLst>
  </connection>
  <connection id="6" name="WorksheetConnection_DAvid_MIKKO.xlsx!state_dim" type="102" refreshedVersion="6" minRefreshableVersion="5">
    <extLst>
      <ext xmlns:x15="http://schemas.microsoft.com/office/spreadsheetml/2010/11/main" uri="{DE250136-89BD-433C-8126-D09CA5730AF9}">
        <x15:connection id="state_dim">
          <x15:rangePr sourceName="_xlcn.WorksheetConnection_DAvid_MIKKO.xlsxstate_dim1"/>
        </x15:connection>
      </ext>
    </extLst>
  </connection>
</connections>
</file>

<file path=xl/sharedStrings.xml><?xml version="1.0" encoding="utf-8"?>
<sst xmlns="http://schemas.openxmlformats.org/spreadsheetml/2006/main" count="719" uniqueCount="239">
  <si>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</si>
  <si>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</si>
  <si>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</si>
  <si>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</si>
  <si>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</si>
  <si>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</si>
  <si>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</si>
  <si>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</si>
  <si>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</si>
  <si>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</si>
  <si>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</si>
  <si>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</si>
  <si>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</si>
  <si>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</si>
  <si>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</si>
  <si>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</si>
  <si>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</si>
  <si>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</si>
  <si>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</si>
  <si>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</si>
  <si>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</si>
  <si>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</si>
  <si>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</si>
  <si>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</si>
  <si>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</si>
  <si>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</si>
  <si>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</si>
  <si>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</si>
  <si>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</si>
  <si>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</si>
  <si>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</si>
  <si>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</si>
  <si>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</si>
  <si>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</si>
  <si>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</si>
  <si>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</si>
  <si>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</si>
  <si>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</si>
  <si>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</si>
  <si>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</si>
  <si>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</si>
  <si>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</si>
  <si>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</si>
  <si>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</si>
  <si>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</si>
  <si>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</si>
  <si>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</si>
  <si>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</si>
  <si>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</si>
  <si>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</si>
  <si>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</si>
  <si>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</si>
  <si>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</si>
  <si>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</si>
  <si>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</si>
  <si>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</si>
  <si>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</si>
  <si>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</si>
  <si>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</si>
  <si>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</si>
  <si>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</si>
  <si>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</si>
  <si>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</si>
  <si>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</si>
  <si>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</si>
  <si>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</si>
  <si>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</si>
  <si>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</si>
  <si>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</si>
  <si>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</si>
  <si>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</si>
  <si>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</si>
  <si>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 </t>
  </si>
  <si>
    <t xml:space="preserve">TESLA, INC.  </t>
  </si>
  <si>
    <t xml:space="preserve">NETFLIX, INC.  </t>
  </si>
  <si>
    <t xml:space="preserve">THE PROCTER &amp; GAMBLE COMPANY  </t>
  </si>
  <si>
    <t xml:space="preserve">THE GOLDMAN SACHS GROUP, INC.  </t>
  </si>
  <si>
    <t xml:space="preserve">JPMORGAN CHASE &amp; CO.  </t>
  </si>
  <si>
    <t xml:space="preserve">MORGAN STANLEY  </t>
  </si>
  <si>
    <t xml:space="preserve">CITIGROUP INC.  </t>
  </si>
  <si>
    <t xml:space="preserve">BANK OF AMERICA CORPORATION  </t>
  </si>
  <si>
    <t xml:space="preserve">WALMART INC.  </t>
  </si>
  <si>
    <t xml:space="preserve">TARGET CORPORATION  </t>
  </si>
  <si>
    <t xml:space="preserve">COSTCO WHOLESALE CORPORATION  </t>
  </si>
  <si>
    <t xml:space="preserve">MCDONALD'S CORPORATION  </t>
  </si>
  <si>
    <t xml:space="preserve">EXXON MOBIL CORPORATION  </t>
  </si>
  <si>
    <t xml:space="preserve">VERIZON COMMUNICATIONS INC.  </t>
  </si>
  <si>
    <t xml:space="preserve">THE HOME DEPOT, INC.  </t>
  </si>
  <si>
    <t xml:space="preserve">CISCO SYSTEMS, INC.  </t>
  </si>
  <si>
    <t xml:space="preserve">CHEVRON CORPORATION  </t>
  </si>
  <si>
    <t xml:space="preserve">AT&amp;T INC.  </t>
  </si>
  <si>
    <t xml:space="preserve">INTEL CORPORATION  </t>
  </si>
  <si>
    <t xml:space="preserve">GENERAL MOTORS COMPANY  </t>
  </si>
  <si>
    <t xml:space="preserve">MICROSOFT CORPORATION  </t>
  </si>
  <si>
    <t xml:space="preserve">COMCAST CORPORATION  </t>
  </si>
  <si>
    <t xml:space="preserve">DELL TECHNOLOGIES INC.  </t>
  </si>
  <si>
    <t xml:space="preserve">JOHNSON &amp; JOHNSON  </t>
  </si>
  <si>
    <t xml:space="preserve">FEDEX CORPORATION  </t>
  </si>
  <si>
    <t xml:space="preserve">GENERAL ELECTRIC COMPANY  </t>
  </si>
  <si>
    <t xml:space="preserve">LOCKHEED MARTIN CORPORATION  </t>
  </si>
  <si>
    <t>First Name</t>
  </si>
  <si>
    <t>Last Name</t>
  </si>
  <si>
    <t>Person</t>
  </si>
  <si>
    <t>Bill</t>
  </si>
  <si>
    <t>Smith</t>
  </si>
  <si>
    <t>Ken</t>
  </si>
  <si>
    <t>Singh</t>
  </si>
  <si>
    <t>Harley</t>
  </si>
  <si>
    <t>Fritz</t>
  </si>
  <si>
    <t>Nyla</t>
  </si>
  <si>
    <t>Novak</t>
  </si>
  <si>
    <t>David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</si>
  <si>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</si>
  <si>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</si>
  <si>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</si>
  <si>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</si>
  <si>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</si>
  <si>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</si>
  <si>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</si>
  <si>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</si>
  <si>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</si>
  <si>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</si>
  <si>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</si>
  <si>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</si>
  <si>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</si>
  <si>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</si>
  <si>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</si>
  <si>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>Steven</t>
  </si>
  <si>
    <t>Michael</t>
  </si>
  <si>
    <t>Lucia</t>
  </si>
  <si>
    <t>Mckay</t>
  </si>
  <si>
    <t>Jose</t>
  </si>
  <si>
    <t>Roach</t>
  </si>
  <si>
    <t>Franklin</t>
  </si>
  <si>
    <t>Wrigt</t>
  </si>
  <si>
    <t>Alia</t>
  </si>
  <si>
    <t>Thornton</t>
  </si>
  <si>
    <t>Denzel</t>
  </si>
  <si>
    <t>Flores</t>
  </si>
  <si>
    <t>Bruno</t>
  </si>
  <si>
    <t>Cordova</t>
  </si>
  <si>
    <t>Jaylynn</t>
  </si>
  <si>
    <t>Napp</t>
  </si>
  <si>
    <t>Bruce</t>
  </si>
  <si>
    <t>Rich</t>
  </si>
  <si>
    <t>Arturo</t>
  </si>
  <si>
    <t>Moore</t>
  </si>
  <si>
    <t>Bryce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</si>
  <si>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</si>
  <si>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</si>
  <si>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</si>
  <si>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</si>
  <si>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</si>
  <si>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</si>
  <si>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</si>
  <si>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</si>
  <si>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</si>
  <si>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</si>
  <si>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</si>
  <si>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Others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</si>
  <si>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</si>
  <si>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</si>
  <si>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</si>
  <si>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</si>
  <si>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</si>
  <si>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</si>
  <si>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</si>
  <si>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</si>
  <si>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State</t>
  </si>
  <si>
    <t>FIRST NAME</t>
  </si>
  <si>
    <t>LAST NAME</t>
  </si>
  <si>
    <t>CLIENT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</si>
  <si>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</si>
  <si>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</si>
  <si>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</si>
  <si>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</si>
  <si>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</si>
  <si>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</si>
  <si>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</si>
  <si>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</si>
  <si>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</si>
  <si>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</si>
  <si>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</si>
  <si>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</si>
  <si>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</si>
  <si>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</si>
  <si>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</si>
  <si>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</si>
  <si>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</si>
  <si>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</si>
  <si>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</si>
  <si>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</si>
  <si>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</si>
  <si>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</si>
  <si>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</si>
  <si>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</si>
  <si>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</si>
  <si>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</si>
  <si>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</si>
  <si>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</si>
  <si>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Dept_ID</t>
  </si>
  <si>
    <t>STATE_ID</t>
  </si>
  <si>
    <t>PAYMENT_ID</t>
  </si>
  <si>
    <t>TR-101</t>
  </si>
  <si>
    <t>TR-102</t>
  </si>
  <si>
    <t>TR-109</t>
  </si>
  <si>
    <t>TR-105</t>
  </si>
  <si>
    <t>TR-104</t>
  </si>
  <si>
    <t>TR-103</t>
  </si>
  <si>
    <t>TR-106</t>
  </si>
  <si>
    <t>TR-107</t>
  </si>
  <si>
    <t>TR-108</t>
  </si>
  <si>
    <t>TR-110</t>
  </si>
  <si>
    <t>TR-111</t>
  </si>
  <si>
    <t>TR-112</t>
  </si>
  <si>
    <t>TR-113</t>
  </si>
  <si>
    <t>TR-114</t>
  </si>
  <si>
    <t>TR-115</t>
  </si>
  <si>
    <t>TR-116</t>
  </si>
  <si>
    <t>TR-117</t>
  </si>
  <si>
    <t>TR-118</t>
  </si>
  <si>
    <t>TR-119</t>
  </si>
  <si>
    <t>TR-120</t>
  </si>
  <si>
    <t>TR-121</t>
  </si>
  <si>
    <t>TR-122</t>
  </si>
  <si>
    <t>TR-123</t>
  </si>
  <si>
    <t>TR-124</t>
  </si>
  <si>
    <t>TR-125</t>
  </si>
  <si>
    <t>TR-126</t>
  </si>
  <si>
    <t>TR-127</t>
  </si>
  <si>
    <t>TR-128</t>
  </si>
  <si>
    <t>TRANS_ID</t>
  </si>
  <si>
    <t>State_ID</t>
  </si>
  <si>
    <t>Payment_ID</t>
  </si>
  <si>
    <t>CLIENT_ID</t>
  </si>
  <si>
    <t>DEPT_ID</t>
  </si>
  <si>
    <t>TR-129</t>
  </si>
  <si>
    <t>$5,400</t>
  </si>
  <si>
    <t>$500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</si>
</sst>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0.0%"/>
    <numFmt numFmtId="166" formatCode="m/d/yyyy;@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/>
    <xf numFmtId="9" fontId="0" fillId="0" borderId="0" xfId="1" applyNumberFormat="1" applyFont="1" applyAlignment="1">
      <alignment horizontal="center"/>
    </xf>
    <xf numFmtId="0" fontId="2" fillId="2" borderId="0" xfId="0" applyFont="1" applyFill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6" formatCode="m/d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id="5" name="reveue_fact" displayName="reveue_fact" ref="A1:I30" totalsRowShown="0" headerRowDxfId="0">
  <autoFilter ref="A1:I30"/>
  <tableColumns count="9">
    <tableColumn id="1" name="TRANS_ID"/>
    <tableColumn id="2" name="Date" dataDxfId="4"/>
    <tableColumn id="3" name="CLIENT_ID"/>
    <tableColumn id="4" name="Dept_ID"/>
    <tableColumn id="5" name="State_ID"/>
    <tableColumn id="6" name="Payment_ID"/>
    <tableColumn id="7" name="Revenue" dataDxfId="3"/>
    <tableColumn id="8" name="Profit" dataDxfId="2"/>
    <tableColumn id="9" name="Profit Margin" dataDxfId="1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ayment_dim" displayName="payment_dim" ref="A1:B6" totalsRowShown="0">
  <autoFilter ref="A1:B6"/>
  <tableColumns count="2">
    <tableColumn id="1" name="Payment"/>
    <tableColumn id="2" name="PAYMEN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tate_dim" displayName="state_dim" ref="A2:B6" totalsRowShown="0">
  <autoFilter ref="A2:B6"/>
  <tableColumns count="2">
    <tableColumn id="1" name="State"/>
    <tableColumn id="2" name="STATE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dept_dim" displayName="dept_dim" ref="A1:B5" totalsRowShown="0">
  <autoFilter ref="A1:B5"/>
  <tableColumns count="2">
    <tableColumn id="1" name="Department"/>
    <tableColumn id="2" name="DEPT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4" name="client_dim" displayName="client_dim" ref="A1:D29" totalsRowShown="0" headerRowDxfId="5">
  <autoFilter ref="A1:D29"/>
  <tableColumns count="4">
    <tableColumn id="1" name="CLIENT"/>
    <tableColumn id="2" name="CLIENT_ID"/>
    <tableColumn id="3" name="FIRST NAME"/>
    <tableColumn id="4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zoomScaleNormal="100" workbookViewId="0">
      <selection activeCell="D5" sqref="D5"/>
    </sheetView>
  </sheetViews>
  <sheetFormatPr defaultColWidth="11" defaultRowHeight="15.75" x14ac:dyDescent="0.25"/>
  <cols>
    <col min="1" max="1" width="10.375" customWidth="1"/>
    <col min="2" max="2" width="43.12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2" spans="1:10" ht="23.25" x14ac:dyDescent="0.35">
      <c r="A2" s="5" t="s">
        <v>0</v>
      </c>
      <c r="B2" s="4" t="s">
        <v>5</v>
      </c>
      <c r="C2" s="4" t="s">
        <v>100</v>
      </c>
      <c r="D2" s="4" t="s">
        <v>101</v>
      </c>
      <c r="E2" s="4" t="s">
        <v>6</v>
      </c>
      <c r="F2" s="4" t="s">
        <v>168</v>
      </c>
      <c r="G2" s="4" t="s">
        <v>47</v>
      </c>
      <c r="H2" s="4" t="s">
        <v>2</v>
      </c>
      <c r="I2" s="4" t="s">
        <v>3</v>
      </c>
      <c r="J2" s="4" t="s">
        <v>4</v>
      </c>
    </row>
    <row r="3" spans="1:10" x14ac:dyDescent="0.25">
      <c r="A3" s="6">
        <v>45076</v>
      </c>
      <c r="B3" t="s">
        <v>72</v>
      </c>
      <c r="C3" t="s">
        <v>103</v>
      </c>
      <c r="D3" t="s">
        <v>104</v>
      </c>
      <c r="E3" t="s">
        <v>160</v>
      </c>
      <c r="F3" t="s">
        <v>161</v>
      </c>
      <c r="G3" t="s">
        <v>51</v>
      </c>
      <c r="H3" s="1">
        <v>4500</v>
      </c>
      <c r="I3" s="1">
        <v>598</v>
      </c>
      <c r="J3" s="7">
        <f>IFERROR(I3/H3,0)</f>
        <v>0.13288888888888889</v>
      </c>
    </row>
    <row r="4" spans="1:10" x14ac:dyDescent="0.25">
      <c r="A4" s="6">
        <v>45076</v>
      </c>
      <c r="B4" t="s">
        <v>73</v>
      </c>
      <c r="C4" t="s">
        <v>105</v>
      </c>
      <c r="D4" t="s">
        <v>106</v>
      </c>
      <c r="E4" t="s">
        <v>162</v>
      </c>
      <c r="F4" t="s">
        <v>163</v>
      </c>
      <c r="G4" t="s">
        <v>49</v>
      </c>
      <c r="H4" s="1">
        <v>3800</v>
      </c>
      <c r="I4" s="1">
        <v>1045</v>
      </c>
      <c r="J4" s="7">
        <f t="shared" ref="J4:J30" si="0">IFERROR(I4/H4,0)</f>
        <v>0.27500000000000002</v>
      </c>
    </row>
    <row r="5" spans="1:10" x14ac:dyDescent="0.25">
      <c r="A5" s="6">
        <v>45076</v>
      </c>
      <c r="B5" t="s">
        <v>74</v>
      </c>
      <c r="C5" t="s">
        <v>107</v>
      </c>
      <c r="D5" t="s">
        <v>108</v>
      </c>
      <c r="E5" t="s">
        <v>162</v>
      </c>
      <c r="F5" t="s">
        <v>163</v>
      </c>
      <c r="G5" t="s">
        <v>159</v>
      </c>
      <c r="H5" s="1">
        <v>3712.5</v>
      </c>
      <c r="I5" s="1">
        <v>1009</v>
      </c>
      <c r="J5" s="7">
        <f t="shared" si="0"/>
        <v>0.2717845117845118</v>
      </c>
    </row>
    <row r="6" spans="1:10" x14ac:dyDescent="0.25">
      <c r="A6" s="6">
        <v>45076</v>
      </c>
      <c r="B6" t="s">
        <v>75</v>
      </c>
      <c r="C6" t="s">
        <v>109</v>
      </c>
      <c r="D6" t="s">
        <v>110</v>
      </c>
      <c r="E6" t="s">
        <v>164</v>
      </c>
      <c r="F6" t="s">
        <v>165</v>
      </c>
      <c r="G6" t="s">
        <v>159</v>
      </c>
      <c r="H6" s="1">
        <v>4974.3269230769229</v>
      </c>
      <c r="I6" s="1">
        <v>779</v>
      </c>
      <c r="J6" s="7">
        <f>IFERROR(I6/H6,0)</f>
        <v>0.15660410183055304</v>
      </c>
    </row>
    <row r="7" spans="1:10" x14ac:dyDescent="0.25">
      <c r="A7" s="6">
        <v>45076</v>
      </c>
      <c r="B7" t="s">
        <v>76</v>
      </c>
      <c r="C7" t="s">
        <v>111</v>
      </c>
      <c r="D7" t="s">
        <v>112</v>
      </c>
      <c r="E7" t="s">
        <v>164</v>
      </c>
      <c r="F7" t="s">
        <v>165</v>
      </c>
      <c r="G7" t="s">
        <v>50</v>
      </c>
      <c r="H7" s="1">
        <v>5000</v>
      </c>
      <c r="I7" s="1">
        <v>684</v>
      </c>
      <c r="J7" s="7">
        <f t="shared" si="0"/>
        <v>0.1368</v>
      </c>
    </row>
    <row r="8" spans="1:10" x14ac:dyDescent="0.25">
      <c r="A8" s="6">
        <v>45077</v>
      </c>
      <c r="B8" t="s">
        <v>77</v>
      </c>
      <c r="C8" t="s">
        <v>113</v>
      </c>
      <c r="D8" t="s">
        <v>114</v>
      </c>
      <c r="E8" t="s">
        <v>160</v>
      </c>
      <c r="F8" t="s">
        <v>161</v>
      </c>
      <c r="G8" t="s">
        <v>51</v>
      </c>
      <c r="H8" s="1">
        <v>6100</v>
      </c>
      <c r="I8" s="1">
        <v>544</v>
      </c>
      <c r="J8" s="7">
        <f t="shared" si="0"/>
        <v>8.9180327868852466E-2</v>
      </c>
    </row>
    <row r="9" spans="1:10" x14ac:dyDescent="0.25">
      <c r="A9" s="6">
        <v>45077</v>
      </c>
      <c r="B9" t="s">
        <v>78</v>
      </c>
      <c r="C9" t="s">
        <v>115</v>
      </c>
      <c r="D9" t="s">
        <v>116</v>
      </c>
      <c r="E9" t="s">
        <v>160</v>
      </c>
      <c r="F9" t="s">
        <v>161</v>
      </c>
      <c r="G9" t="s">
        <v>51</v>
      </c>
      <c r="H9" s="1">
        <v>4625</v>
      </c>
      <c r="I9" s="1">
        <v>670</v>
      </c>
      <c r="J9" s="7">
        <f t="shared" si="0"/>
        <v>0.14486486486486486</v>
      </c>
    </row>
    <row r="10" spans="1:10" x14ac:dyDescent="0.25">
      <c r="A10" s="6">
        <v>45077</v>
      </c>
      <c r="B10" t="s">
        <v>79</v>
      </c>
      <c r="C10" t="s">
        <v>117</v>
      </c>
      <c r="D10" t="s">
        <v>118</v>
      </c>
      <c r="E10" t="s">
        <v>160</v>
      </c>
      <c r="F10" t="s">
        <v>161</v>
      </c>
      <c r="G10" t="s">
        <v>51</v>
      </c>
      <c r="H10" s="1">
        <v>3800</v>
      </c>
      <c r="I10" s="1">
        <v>2045</v>
      </c>
      <c r="J10" s="7">
        <f t="shared" si="0"/>
        <v>0.53815789473684206</v>
      </c>
    </row>
    <row r="11" spans="1:10" x14ac:dyDescent="0.25">
      <c r="A11" s="6">
        <v>45077</v>
      </c>
      <c r="B11" t="s">
        <v>80</v>
      </c>
      <c r="C11" t="s">
        <v>119</v>
      </c>
      <c r="D11" t="s">
        <v>120</v>
      </c>
      <c r="E11" t="s">
        <v>160</v>
      </c>
      <c r="F11" t="s">
        <v>161</v>
      </c>
      <c r="G11" t="s">
        <v>48</v>
      </c>
      <c r="H11" s="1">
        <v>3600</v>
      </c>
      <c r="I11" s="1">
        <v>1564</v>
      </c>
      <c r="J11" s="7">
        <f t="shared" si="0"/>
        <v>0.43444444444444447</v>
      </c>
    </row>
    <row r="12" spans="1:10" x14ac:dyDescent="0.25">
      <c r="A12" s="6">
        <v>45077</v>
      </c>
      <c r="B12" t="s">
        <v>81</v>
      </c>
      <c r="C12" t="s">
        <v>121</v>
      </c>
      <c r="D12" t="s">
        <v>122</v>
      </c>
      <c r="E12" t="s">
        <v>160</v>
      </c>
      <c r="F12" t="s">
        <v>161</v>
      </c>
      <c r="G12" t="s">
        <v>50</v>
      </c>
      <c r="H12" s="1">
        <v>5100</v>
      </c>
      <c r="I12" s="1">
        <v>1220</v>
      </c>
      <c r="J12" s="7">
        <f t="shared" si="0"/>
        <v>0.23921568627450981</v>
      </c>
    </row>
    <row r="13" spans="1:10" x14ac:dyDescent="0.25">
      <c r="A13" s="6">
        <v>45077</v>
      </c>
      <c r="B13" t="s">
        <v>82</v>
      </c>
      <c r="C13" t="s">
        <v>123</v>
      </c>
      <c r="D13" t="s">
        <v>124</v>
      </c>
      <c r="E13" t="s">
        <v>160</v>
      </c>
      <c r="F13" t="s">
        <v>161</v>
      </c>
      <c r="G13" t="s">
        <v>50</v>
      </c>
      <c r="H13" s="1">
        <v>4750</v>
      </c>
      <c r="I13" s="1">
        <v>1435</v>
      </c>
      <c r="J13" s="7">
        <f t="shared" si="0"/>
        <v>0.30210526315789471</v>
      </c>
    </row>
    <row r="14" spans="1:10" x14ac:dyDescent="0.25">
      <c r="A14" s="6">
        <v>45077</v>
      </c>
      <c r="B14" t="s">
        <v>83</v>
      </c>
      <c r="C14" t="s">
        <v>125</v>
      </c>
      <c r="D14" t="s">
        <v>126</v>
      </c>
      <c r="E14" t="s">
        <v>164</v>
      </c>
      <c r="F14" t="s">
        <v>165</v>
      </c>
      <c r="G14" t="s">
        <v>51</v>
      </c>
      <c r="H14" s="1">
        <v>6000</v>
      </c>
      <c r="I14" s="1">
        <v>998</v>
      </c>
      <c r="J14" s="7">
        <f t="shared" si="0"/>
        <v>0.16633333333333333</v>
      </c>
    </row>
    <row r="15" spans="1:10" x14ac:dyDescent="0.25">
      <c r="A15" s="6">
        <v>45077</v>
      </c>
      <c r="B15" t="s">
        <v>84</v>
      </c>
      <c r="C15" t="s">
        <v>127</v>
      </c>
      <c r="D15" t="s">
        <v>128</v>
      </c>
      <c r="E15" t="s">
        <v>166</v>
      </c>
      <c r="F15" t="s">
        <v>167</v>
      </c>
      <c r="G15" t="s">
        <v>50</v>
      </c>
      <c r="H15" s="1">
        <v>4500</v>
      </c>
      <c r="I15" s="1">
        <v>780</v>
      </c>
      <c r="J15" s="7">
        <f t="shared" si="0"/>
        <v>0.17333333333333334</v>
      </c>
    </row>
    <row r="16" spans="1:10" x14ac:dyDescent="0.25">
      <c r="A16" s="6">
        <v>45078</v>
      </c>
      <c r="B16" t="s">
        <v>85</v>
      </c>
      <c r="C16" t="s">
        <v>129</v>
      </c>
      <c r="D16" t="s">
        <v>130</v>
      </c>
      <c r="E16" t="s">
        <v>166</v>
      </c>
      <c r="F16" t="s">
        <v>167</v>
      </c>
      <c r="G16" t="s">
        <v>48</v>
      </c>
      <c r="H16" s="1">
        <v>4974.3269230769229</v>
      </c>
      <c r="I16" s="1">
        <v>1044</v>
      </c>
      <c r="J16" s="7">
        <f t="shared" si="0"/>
        <v>0.20987764096418149</v>
      </c>
    </row>
    <row r="17" spans="1:10" x14ac:dyDescent="0.25">
      <c r="A17" s="6">
        <v>45078</v>
      </c>
      <c r="B17" t="s">
        <v>86</v>
      </c>
      <c r="C17" t="s">
        <v>131</v>
      </c>
      <c r="D17" t="s">
        <v>132</v>
      </c>
      <c r="E17" t="s">
        <v>166</v>
      </c>
      <c r="F17" t="s">
        <v>167</v>
      </c>
      <c r="G17" t="s">
        <v>51</v>
      </c>
      <c r="H17" s="1">
        <v>3712.5</v>
      </c>
      <c r="I17" s="1">
        <v>1222</v>
      </c>
      <c r="J17" s="7">
        <f t="shared" si="0"/>
        <v>0.32915824915824915</v>
      </c>
    </row>
    <row r="18" spans="1:10" x14ac:dyDescent="0.25">
      <c r="A18" s="6">
        <v>45078</v>
      </c>
      <c r="B18" t="s">
        <v>87</v>
      </c>
      <c r="C18" t="s">
        <v>133</v>
      </c>
      <c r="D18" t="s">
        <v>134</v>
      </c>
      <c r="E18" t="s">
        <v>166</v>
      </c>
      <c r="F18" t="s">
        <v>167</v>
      </c>
      <c r="G18" t="s">
        <v>51</v>
      </c>
      <c r="H18" s="1">
        <v>4950</v>
      </c>
      <c r="I18" s="1">
        <v>1065</v>
      </c>
      <c r="J18" s="7">
        <f t="shared" si="0"/>
        <v>0.21515151515151515</v>
      </c>
    </row>
    <row r="19" spans="1:10" x14ac:dyDescent="0.25">
      <c r="A19" s="6">
        <v>45078</v>
      </c>
      <c r="B19" t="s">
        <v>88</v>
      </c>
      <c r="C19" t="s">
        <v>135</v>
      </c>
      <c r="D19" t="s">
        <v>136</v>
      </c>
      <c r="E19" t="s">
        <v>164</v>
      </c>
      <c r="F19" t="s">
        <v>165</v>
      </c>
      <c r="G19" t="s">
        <v>51</v>
      </c>
      <c r="H19" s="1">
        <v>4750</v>
      </c>
      <c r="I19" s="1">
        <v>810</v>
      </c>
      <c r="J19" s="7">
        <f t="shared" si="0"/>
        <v>0.17052631578947369</v>
      </c>
    </row>
    <row r="20" spans="1:10" x14ac:dyDescent="0.25">
      <c r="A20" s="6">
        <v>45078</v>
      </c>
      <c r="B20" t="s">
        <v>89</v>
      </c>
      <c r="C20" t="s">
        <v>137</v>
      </c>
      <c r="D20" t="s">
        <v>138</v>
      </c>
      <c r="E20" t="s">
        <v>164</v>
      </c>
      <c r="F20" t="s">
        <v>165</v>
      </c>
      <c r="G20" t="s">
        <v>51</v>
      </c>
      <c r="H20" s="1">
        <v>7320</v>
      </c>
      <c r="I20" s="1">
        <v>933</v>
      </c>
      <c r="J20" s="7">
        <f t="shared" si="0"/>
        <v>0.12745901639344262</v>
      </c>
    </row>
    <row r="21" spans="1:10" x14ac:dyDescent="0.25">
      <c r="A21" s="6">
        <v>45078</v>
      </c>
      <c r="B21" t="s">
        <v>90</v>
      </c>
      <c r="C21" t="s">
        <v>139</v>
      </c>
      <c r="D21" t="s">
        <v>140</v>
      </c>
      <c r="E21" t="s">
        <v>166</v>
      </c>
      <c r="F21" t="s">
        <v>167</v>
      </c>
      <c r="G21" t="s">
        <v>51</v>
      </c>
      <c r="H21" s="1">
        <v>5087.5</v>
      </c>
      <c r="I21" s="1">
        <v>655</v>
      </c>
      <c r="J21" s="7">
        <f t="shared" si="0"/>
        <v>0.12874692874692875</v>
      </c>
    </row>
    <row r="22" spans="1:10" x14ac:dyDescent="0.25">
      <c r="A22" s="6">
        <v>45078</v>
      </c>
      <c r="B22" t="s">
        <v>91</v>
      </c>
      <c r="C22" t="s">
        <v>141</v>
      </c>
      <c r="D22" t="s">
        <v>142</v>
      </c>
      <c r="E22" t="s">
        <v>166</v>
      </c>
      <c r="F22" t="s">
        <v>167</v>
      </c>
      <c r="G22" t="s">
        <v>51</v>
      </c>
      <c r="H22" s="1">
        <v>4500</v>
      </c>
      <c r="I22" s="1">
        <v>722</v>
      </c>
      <c r="J22" s="7">
        <f t="shared" si="0"/>
        <v>0.16044444444444445</v>
      </c>
    </row>
    <row r="23" spans="1:10" x14ac:dyDescent="0.25">
      <c r="A23" s="6">
        <v>45078</v>
      </c>
      <c r="B23" t="s">
        <v>92</v>
      </c>
      <c r="C23" t="s">
        <v>143</v>
      </c>
      <c r="D23" t="s">
        <v>144</v>
      </c>
      <c r="E23" t="s">
        <v>166</v>
      </c>
      <c r="F23" t="s">
        <v>167</v>
      </c>
      <c r="G23" t="s">
        <v>48</v>
      </c>
      <c r="H23" s="1">
        <v>4250</v>
      </c>
      <c r="I23" s="1">
        <v>901</v>
      </c>
      <c r="J23" s="7">
        <f t="shared" si="0"/>
        <v>0.21199999999999999</v>
      </c>
    </row>
    <row r="24" spans="1:10" x14ac:dyDescent="0.25">
      <c r="A24" s="6">
        <v>45079</v>
      </c>
      <c r="B24" t="s">
        <v>93</v>
      </c>
      <c r="C24" t="s">
        <v>145</v>
      </c>
      <c r="D24" t="s">
        <v>146</v>
      </c>
      <c r="E24" t="s">
        <v>166</v>
      </c>
      <c r="F24" t="s">
        <v>167</v>
      </c>
      <c r="G24" t="s">
        <v>49</v>
      </c>
      <c r="H24" s="1">
        <v>5250</v>
      </c>
      <c r="I24" s="1">
        <v>1349</v>
      </c>
      <c r="J24" s="7">
        <f t="shared" si="0"/>
        <v>0.25695238095238093</v>
      </c>
    </row>
    <row r="25" spans="1:10" x14ac:dyDescent="0.25">
      <c r="A25" s="6">
        <v>45079</v>
      </c>
      <c r="B25" t="s">
        <v>94</v>
      </c>
      <c r="C25" t="s">
        <v>147</v>
      </c>
      <c r="D25" t="s">
        <v>148</v>
      </c>
      <c r="E25" t="s">
        <v>162</v>
      </c>
      <c r="F25" t="s">
        <v>163</v>
      </c>
      <c r="G25" t="s">
        <v>49</v>
      </c>
      <c r="H25" s="1">
        <v>6500</v>
      </c>
      <c r="I25" s="1">
        <v>1288</v>
      </c>
      <c r="J25" s="7">
        <f t="shared" si="0"/>
        <v>0.19815384615384615</v>
      </c>
    </row>
    <row r="26" spans="1:10" x14ac:dyDescent="0.25">
      <c r="A26" s="6">
        <v>45079</v>
      </c>
      <c r="B26" t="s">
        <v>95</v>
      </c>
      <c r="C26" t="s">
        <v>149</v>
      </c>
      <c r="D26" t="s">
        <v>150</v>
      </c>
      <c r="E26" t="s">
        <v>162</v>
      </c>
      <c r="F26" t="s">
        <v>163</v>
      </c>
      <c r="G26" t="s">
        <v>49</v>
      </c>
      <c r="H26" s="1">
        <v>7500</v>
      </c>
      <c r="I26" s="1">
        <v>1664</v>
      </c>
      <c r="J26" s="7">
        <f t="shared" si="0"/>
        <v>0.22186666666666666</v>
      </c>
    </row>
    <row r="27" spans="1:10" x14ac:dyDescent="0.25">
      <c r="A27" s="6">
        <v>45079</v>
      </c>
      <c r="B27" t="s">
        <v>96</v>
      </c>
      <c r="C27" t="s">
        <v>151</v>
      </c>
      <c r="D27" t="s">
        <v>152</v>
      </c>
      <c r="E27" t="s">
        <v>162</v>
      </c>
      <c r="F27" t="s">
        <v>163</v>
      </c>
      <c r="G27" t="s">
        <v>51</v>
      </c>
      <c r="H27" s="1">
        <v>5500</v>
      </c>
      <c r="I27" s="1">
        <v>1320</v>
      </c>
      <c r="J27" s="7">
        <f t="shared" si="0"/>
        <v>0.24</v>
      </c>
    </row>
    <row r="28" spans="1:10" x14ac:dyDescent="0.25">
      <c r="A28" s="6">
        <v>45079</v>
      </c>
      <c r="B28" t="s">
        <v>97</v>
      </c>
      <c r="C28" t="s">
        <v>153</v>
      </c>
      <c r="D28" t="s">
        <v>154</v>
      </c>
      <c r="E28" t="s">
        <v>162</v>
      </c>
      <c r="F28" t="s">
        <v>163</v>
      </c>
      <c r="G28" t="s">
        <v>51</v>
      </c>
      <c r="H28" s="1">
        <v>4625</v>
      </c>
      <c r="I28" s="1">
        <v>1001</v>
      </c>
      <c r="J28" s="7">
        <f t="shared" si="0"/>
        <v>0.21643243243243243</v>
      </c>
    </row>
    <row r="29" spans="1:10" x14ac:dyDescent="0.25">
      <c r="A29" s="6">
        <v>45079</v>
      </c>
      <c r="B29" t="s">
        <v>98</v>
      </c>
      <c r="C29" t="s">
        <v>155</v>
      </c>
      <c r="D29" t="s">
        <v>156</v>
      </c>
      <c r="E29" t="s">
        <v>162</v>
      </c>
      <c r="F29" t="s">
        <v>163</v>
      </c>
      <c r="G29" t="s">
        <v>51</v>
      </c>
      <c r="H29" s="1">
        <v>4500</v>
      </c>
      <c r="I29" s="1">
        <v>960</v>
      </c>
      <c r="J29" s="7">
        <f t="shared" si="0"/>
        <v>0.21333333333333335</v>
      </c>
    </row>
    <row r="30" spans="1:10" x14ac:dyDescent="0.25">
      <c r="A30" s="6">
        <v>45079</v>
      </c>
      <c r="B30" t="s">
        <v>99</v>
      </c>
      <c r="C30" t="s">
        <v>157</v>
      </c>
      <c r="D30" t="s">
        <v>158</v>
      </c>
      <c r="E30" t="s">
        <v>162</v>
      </c>
      <c r="F30" t="s">
        <v>163</v>
      </c>
      <c r="G30" t="s">
        <v>48</v>
      </c>
      <c r="H30" s="1">
        <v>5400</v>
      </c>
      <c r="I30" s="1">
        <v>540</v>
      </c>
      <c r="J30" s="7">
        <f t="shared" si="0"/>
        <v>0.1</v>
      </c>
    </row>
    <row r="31" spans="1:10" x14ac:dyDescent="0.25">
      <c r="H31" s="1">
        <f>AVERAGE(H3:H30)</f>
        <v>4974.3269230769229</v>
      </c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zoomScale="85" zoomScaleNormal="85" workbookViewId="0">
      <selection activeCell="L9" sqref="L9"/>
    </sheetView>
  </sheetViews>
  <sheetFormatPr defaultColWidth="11" defaultRowHeight="15.75" x14ac:dyDescent="0.25"/>
  <cols>
    <col min="1" max="1" width="19" customWidth="1"/>
    <col min="2" max="2" width="10.75" bestFit="1" customWidth="1"/>
    <col min="3" max="3" width="16.625" customWidth="1"/>
    <col min="4" max="4" width="15.375" customWidth="1"/>
    <col min="5" max="5" width="16.875" customWidth="1"/>
    <col min="6" max="6" width="17.75" customWidth="1"/>
    <col min="7" max="7" width="13.375" customWidth="1"/>
    <col min="8" max="8" width="16.625" customWidth="1"/>
    <col min="9" max="9" width="19.125" customWidth="1"/>
  </cols>
  <sheetData>
    <row r="1" spans="1:9" ht="23.25" x14ac:dyDescent="0.35">
      <c r="A1" s="8" t="s">
        <v>231</v>
      </c>
      <c r="B1" s="5" t="s">
        <v>0</v>
      </c>
      <c r="C1" s="8" t="s">
        <v>234</v>
      </c>
      <c r="D1" s="4" t="s">
        <v>200</v>
      </c>
      <c r="E1" s="4" t="s">
        <v>232</v>
      </c>
      <c r="F1" s="4" t="s">
        <v>233</v>
      </c>
      <c r="G1" s="4" t="s">
        <v>2</v>
      </c>
      <c r="H1" s="4" t="s">
        <v>3</v>
      </c>
      <c r="I1" s="4" t="s">
        <v>4</v>
      </c>
    </row>
    <row r="2" spans="1:9" x14ac:dyDescent="0.25">
      <c r="A2" t="s">
        <v>203</v>
      </c>
      <c r="B2" s="6">
        <v>45076</v>
      </c>
      <c r="C2" t="s">
        <v>172</v>
      </c>
      <c r="D2">
        <v>102</v>
      </c>
      <c r="E2">
        <v>104</v>
      </c>
      <c r="F2">
        <v>105</v>
      </c>
      <c r="G2" s="1">
        <v>4500</v>
      </c>
      <c r="H2" s="1">
        <v>598</v>
      </c>
      <c r="I2" s="7">
        <f>IFERROR(H2/G2,0)</f>
        <v>0.13288888888888889</v>
      </c>
    </row>
    <row r="3" spans="1:9" x14ac:dyDescent="0.25">
      <c r="A3" t="s">
        <v>204</v>
      </c>
      <c r="B3" s="6">
        <v>45076</v>
      </c>
      <c r="C3" t="s">
        <v>199</v>
      </c>
      <c r="D3">
        <v>104</v>
      </c>
      <c r="E3">
        <v>103</v>
      </c>
      <c r="F3">
        <v>104</v>
      </c>
      <c r="G3" s="1">
        <v>3800</v>
      </c>
      <c r="H3" s="1">
        <v>1045</v>
      </c>
      <c r="I3" s="7">
        <f t="shared" ref="I3:I29" si="0">IFERROR(H3/G3,0)</f>
        <v>0.27500000000000002</v>
      </c>
    </row>
    <row r="4" spans="1:9" x14ac:dyDescent="0.25">
      <c r="A4" t="s">
        <v>208</v>
      </c>
      <c r="B4" s="6">
        <v>45076</v>
      </c>
      <c r="C4" t="s">
        <v>199</v>
      </c>
      <c r="D4">
        <v>104</v>
      </c>
      <c r="E4">
        <v>103</v>
      </c>
      <c r="F4">
        <v>103</v>
      </c>
      <c r="G4" s="1">
        <v>3712.5</v>
      </c>
      <c r="H4" s="1">
        <v>1009</v>
      </c>
      <c r="I4" s="7">
        <f t="shared" si="0"/>
        <v>0.2717845117845118</v>
      </c>
    </row>
    <row r="5" spans="1:9" x14ac:dyDescent="0.25">
      <c r="A5" t="s">
        <v>207</v>
      </c>
      <c r="B5" s="6">
        <v>45076</v>
      </c>
      <c r="C5" t="s">
        <v>199</v>
      </c>
      <c r="D5">
        <v>103</v>
      </c>
      <c r="E5">
        <v>102</v>
      </c>
      <c r="F5">
        <v>103</v>
      </c>
      <c r="G5" s="1">
        <v>4974.3269230769229</v>
      </c>
      <c r="H5" s="1">
        <v>779</v>
      </c>
      <c r="I5" s="7">
        <f>IFERROR(H5/G5,0)</f>
        <v>0.15660410183055304</v>
      </c>
    </row>
    <row r="6" spans="1:9" x14ac:dyDescent="0.25">
      <c r="A6" t="s">
        <v>206</v>
      </c>
      <c r="B6" s="6">
        <v>45076</v>
      </c>
      <c r="C6" t="s">
        <v>199</v>
      </c>
      <c r="D6">
        <v>103</v>
      </c>
      <c r="E6">
        <v>102</v>
      </c>
      <c r="F6">
        <v>102</v>
      </c>
      <c r="G6" s="1">
        <v>5000</v>
      </c>
      <c r="H6" s="1">
        <v>684</v>
      </c>
      <c r="I6" s="7">
        <f t="shared" si="0"/>
        <v>0.1368</v>
      </c>
    </row>
    <row r="7" spans="1:9" x14ac:dyDescent="0.25">
      <c r="A7" t="s">
        <v>209</v>
      </c>
      <c r="B7" s="6">
        <v>45077</v>
      </c>
      <c r="C7" t="s">
        <v>198</v>
      </c>
      <c r="D7">
        <v>102</v>
      </c>
      <c r="E7">
        <v>104</v>
      </c>
      <c r="F7">
        <v>105</v>
      </c>
      <c r="G7" s="1">
        <v>6100</v>
      </c>
      <c r="H7" s="1">
        <v>544</v>
      </c>
      <c r="I7" s="7">
        <f t="shared" si="0"/>
        <v>8.9180327868852466E-2</v>
      </c>
    </row>
    <row r="8" spans="1:9" x14ac:dyDescent="0.25">
      <c r="A8" t="s">
        <v>210</v>
      </c>
      <c r="B8" s="6">
        <v>45077</v>
      </c>
      <c r="C8" t="s">
        <v>199</v>
      </c>
      <c r="D8">
        <v>102</v>
      </c>
      <c r="E8">
        <v>104</v>
      </c>
      <c r="F8">
        <v>105</v>
      </c>
      <c r="G8" s="1">
        <v>4625</v>
      </c>
      <c r="H8" s="1">
        <v>670</v>
      </c>
      <c r="I8" s="7">
        <f t="shared" si="0"/>
        <v>0.14486486486486486</v>
      </c>
    </row>
    <row r="9" spans="1:9" x14ac:dyDescent="0.25">
      <c r="A9" t="s">
        <v>211</v>
      </c>
      <c r="B9" s="6">
        <v>45077</v>
      </c>
      <c r="C9" t="s">
        <v>172</v>
      </c>
      <c r="D9">
        <v>102</v>
      </c>
      <c r="E9">
        <v>104</v>
      </c>
      <c r="F9">
        <v>105</v>
      </c>
      <c r="G9" s="1">
        <v>3800</v>
      </c>
      <c r="H9" s="1">
        <v>2045</v>
      </c>
      <c r="I9" s="7">
        <f t="shared" si="0"/>
        <v>0.53815789473684206</v>
      </c>
    </row>
    <row r="10" spans="1:9" x14ac:dyDescent="0.25">
      <c r="A10" t="s">
        <v>205</v>
      </c>
      <c r="B10" s="6">
        <v>45077</v>
      </c>
      <c r="C10" t="s">
        <v>172</v>
      </c>
      <c r="D10">
        <v>102</v>
      </c>
      <c r="E10">
        <v>104</v>
      </c>
      <c r="F10">
        <v>101</v>
      </c>
      <c r="G10" s="1">
        <v>3600</v>
      </c>
      <c r="H10" s="1">
        <v>1564</v>
      </c>
      <c r="I10" s="7">
        <f t="shared" si="0"/>
        <v>0.43444444444444447</v>
      </c>
    </row>
    <row r="11" spans="1:9" x14ac:dyDescent="0.25">
      <c r="A11" t="s">
        <v>212</v>
      </c>
      <c r="B11" s="6">
        <v>45077</v>
      </c>
      <c r="C11" t="s">
        <v>199</v>
      </c>
      <c r="D11">
        <v>102</v>
      </c>
      <c r="E11">
        <v>104</v>
      </c>
      <c r="F11">
        <v>102</v>
      </c>
      <c r="G11" s="1">
        <v>5100</v>
      </c>
      <c r="H11" s="1">
        <v>1220</v>
      </c>
      <c r="I11" s="7">
        <f t="shared" si="0"/>
        <v>0.23921568627450981</v>
      </c>
    </row>
    <row r="12" spans="1:9" x14ac:dyDescent="0.25">
      <c r="A12" t="s">
        <v>213</v>
      </c>
      <c r="B12" s="6">
        <v>45077</v>
      </c>
      <c r="C12" t="s">
        <v>199</v>
      </c>
      <c r="D12">
        <v>102</v>
      </c>
      <c r="E12">
        <v>104</v>
      </c>
      <c r="F12">
        <v>102</v>
      </c>
      <c r="G12" s="1">
        <v>4750</v>
      </c>
      <c r="H12" s="1">
        <v>1435</v>
      </c>
      <c r="I12" s="7">
        <f t="shared" si="0"/>
        <v>0.30210526315789471</v>
      </c>
    </row>
    <row r="13" spans="1:9" x14ac:dyDescent="0.25">
      <c r="A13" t="s">
        <v>214</v>
      </c>
      <c r="B13" s="6">
        <v>45077</v>
      </c>
      <c r="C13" t="s">
        <v>172</v>
      </c>
      <c r="D13">
        <v>103</v>
      </c>
      <c r="E13">
        <v>102</v>
      </c>
      <c r="F13">
        <v>105</v>
      </c>
      <c r="G13" s="1">
        <v>6000</v>
      </c>
      <c r="H13" s="1">
        <v>998</v>
      </c>
      <c r="I13" s="7">
        <f t="shared" si="0"/>
        <v>0.16633333333333333</v>
      </c>
    </row>
    <row r="14" spans="1:9" x14ac:dyDescent="0.25">
      <c r="A14" t="s">
        <v>215</v>
      </c>
      <c r="B14" s="6">
        <v>45077</v>
      </c>
      <c r="C14" t="s">
        <v>199</v>
      </c>
      <c r="D14">
        <v>101</v>
      </c>
      <c r="E14">
        <v>101</v>
      </c>
      <c r="F14">
        <v>102</v>
      </c>
      <c r="G14" s="1">
        <v>4500</v>
      </c>
      <c r="H14" s="1">
        <v>780</v>
      </c>
      <c r="I14" s="7">
        <f t="shared" si="0"/>
        <v>0.17333333333333334</v>
      </c>
    </row>
    <row r="15" spans="1:9" x14ac:dyDescent="0.25">
      <c r="A15" t="s">
        <v>216</v>
      </c>
      <c r="B15" s="6">
        <v>45078</v>
      </c>
      <c r="C15" t="s">
        <v>185</v>
      </c>
      <c r="D15">
        <v>101</v>
      </c>
      <c r="E15">
        <v>101</v>
      </c>
      <c r="F15">
        <v>101</v>
      </c>
      <c r="G15" s="1">
        <v>4974.3269230769229</v>
      </c>
      <c r="H15" s="1">
        <v>1044</v>
      </c>
      <c r="I15" s="7">
        <f t="shared" si="0"/>
        <v>0.20987764096418149</v>
      </c>
    </row>
    <row r="16" spans="1:9" x14ac:dyDescent="0.25">
      <c r="A16" t="s">
        <v>217</v>
      </c>
      <c r="B16" s="6">
        <v>45078</v>
      </c>
      <c r="C16" t="s">
        <v>199</v>
      </c>
      <c r="D16">
        <v>101</v>
      </c>
      <c r="E16">
        <v>101</v>
      </c>
      <c r="F16">
        <v>105</v>
      </c>
      <c r="G16" s="1">
        <v>3712.5</v>
      </c>
      <c r="H16" s="1">
        <v>1222</v>
      </c>
      <c r="I16" s="7">
        <f t="shared" si="0"/>
        <v>0.32915824915824915</v>
      </c>
    </row>
    <row r="17" spans="1:9" x14ac:dyDescent="0.25">
      <c r="A17" t="s">
        <v>218</v>
      </c>
      <c r="B17" s="6">
        <v>45078</v>
      </c>
      <c r="C17" t="s">
        <v>199</v>
      </c>
      <c r="D17">
        <v>101</v>
      </c>
      <c r="E17">
        <v>101</v>
      </c>
      <c r="F17">
        <v>105</v>
      </c>
      <c r="G17" s="1">
        <v>4950</v>
      </c>
      <c r="H17" s="1">
        <v>1065</v>
      </c>
      <c r="I17" s="7">
        <f t="shared" si="0"/>
        <v>0.21515151515151515</v>
      </c>
    </row>
    <row r="18" spans="1:9" x14ac:dyDescent="0.25">
      <c r="A18" t="s">
        <v>219</v>
      </c>
      <c r="B18" s="6">
        <v>45078</v>
      </c>
      <c r="C18" t="s">
        <v>172</v>
      </c>
      <c r="D18">
        <v>103</v>
      </c>
      <c r="E18">
        <v>102</v>
      </c>
      <c r="F18">
        <v>105</v>
      </c>
      <c r="G18" s="1">
        <v>4750</v>
      </c>
      <c r="H18" s="1">
        <v>810</v>
      </c>
      <c r="I18" s="7">
        <f t="shared" si="0"/>
        <v>0.17052631578947369</v>
      </c>
    </row>
    <row r="19" spans="1:9" x14ac:dyDescent="0.25">
      <c r="A19" t="s">
        <v>220</v>
      </c>
      <c r="B19" s="6">
        <v>45078</v>
      </c>
      <c r="C19" t="s">
        <v>172</v>
      </c>
      <c r="D19">
        <v>103</v>
      </c>
      <c r="E19">
        <v>102</v>
      </c>
      <c r="F19">
        <v>105</v>
      </c>
      <c r="G19" s="1">
        <v>7320</v>
      </c>
      <c r="H19" s="1">
        <v>933</v>
      </c>
      <c r="I19" s="7">
        <f t="shared" si="0"/>
        <v>0.12745901639344262</v>
      </c>
    </row>
    <row r="20" spans="1:9" x14ac:dyDescent="0.25">
      <c r="A20" t="s">
        <v>221</v>
      </c>
      <c r="B20" s="6">
        <v>45078</v>
      </c>
      <c r="C20" t="s">
        <v>172</v>
      </c>
      <c r="D20">
        <v>101</v>
      </c>
      <c r="E20">
        <v>101</v>
      </c>
      <c r="F20">
        <v>105</v>
      </c>
      <c r="G20" s="1">
        <v>5087.5</v>
      </c>
      <c r="H20" s="1">
        <v>655</v>
      </c>
      <c r="I20" s="7">
        <f t="shared" si="0"/>
        <v>0.12874692874692875</v>
      </c>
    </row>
    <row r="21" spans="1:9" x14ac:dyDescent="0.25">
      <c r="A21" t="s">
        <v>222</v>
      </c>
      <c r="B21" s="6">
        <v>45078</v>
      </c>
      <c r="C21" t="s">
        <v>195</v>
      </c>
      <c r="D21">
        <v>101</v>
      </c>
      <c r="E21">
        <v>101</v>
      </c>
      <c r="F21">
        <v>105</v>
      </c>
      <c r="G21" s="1">
        <v>4500</v>
      </c>
      <c r="H21" s="1">
        <v>722</v>
      </c>
      <c r="I21" s="7">
        <f t="shared" si="0"/>
        <v>0.16044444444444445</v>
      </c>
    </row>
    <row r="22" spans="1:9" x14ac:dyDescent="0.25">
      <c r="A22" t="s">
        <v>223</v>
      </c>
      <c r="B22" s="6">
        <v>45078</v>
      </c>
      <c r="C22" t="s">
        <v>192</v>
      </c>
      <c r="D22">
        <v>101</v>
      </c>
      <c r="E22">
        <v>101</v>
      </c>
      <c r="F22">
        <v>101</v>
      </c>
      <c r="G22" s="1">
        <v>4250</v>
      </c>
      <c r="H22" s="1">
        <v>901</v>
      </c>
      <c r="I22" s="7">
        <f t="shared" si="0"/>
        <v>0.21199999999999999</v>
      </c>
    </row>
    <row r="23" spans="1:9" x14ac:dyDescent="0.25">
      <c r="A23" t="s">
        <v>224</v>
      </c>
      <c r="B23" s="6">
        <v>45079</v>
      </c>
      <c r="C23" t="s">
        <v>199</v>
      </c>
      <c r="D23">
        <v>101</v>
      </c>
      <c r="E23">
        <v>101</v>
      </c>
      <c r="F23">
        <v>104</v>
      </c>
      <c r="G23" s="1">
        <v>5250</v>
      </c>
      <c r="H23" s="1">
        <v>1349</v>
      </c>
      <c r="I23" s="7">
        <f t="shared" si="0"/>
        <v>0.25695238095238093</v>
      </c>
    </row>
    <row r="24" spans="1:9" x14ac:dyDescent="0.25">
      <c r="A24" t="s">
        <v>225</v>
      </c>
      <c r="B24" s="6">
        <v>45079</v>
      </c>
      <c r="C24" t="s">
        <v>172</v>
      </c>
      <c r="D24">
        <v>104</v>
      </c>
      <c r="E24">
        <v>103</v>
      </c>
      <c r="F24">
        <v>104</v>
      </c>
      <c r="G24" s="1">
        <v>6500</v>
      </c>
      <c r="H24" s="1">
        <v>1288</v>
      </c>
      <c r="I24" s="7">
        <f t="shared" si="0"/>
        <v>0.19815384615384615</v>
      </c>
    </row>
    <row r="25" spans="1:9" x14ac:dyDescent="0.25">
      <c r="A25" t="s">
        <v>226</v>
      </c>
      <c r="B25" s="6">
        <v>45079</v>
      </c>
      <c r="C25" t="s">
        <v>172</v>
      </c>
      <c r="D25">
        <v>104</v>
      </c>
      <c r="E25">
        <v>103</v>
      </c>
      <c r="F25">
        <v>104</v>
      </c>
      <c r="G25" s="1">
        <v>7500</v>
      </c>
      <c r="H25" s="1">
        <v>1664</v>
      </c>
      <c r="I25" s="7">
        <f t="shared" si="0"/>
        <v>0.22186666666666666</v>
      </c>
    </row>
    <row r="26" spans="1:9" x14ac:dyDescent="0.25">
      <c r="A26" t="s">
        <v>227</v>
      </c>
      <c r="B26" s="6">
        <v>45079</v>
      </c>
      <c r="C26" t="s">
        <v>196</v>
      </c>
      <c r="D26">
        <v>104</v>
      </c>
      <c r="E26">
        <v>103</v>
      </c>
      <c r="F26">
        <v>105</v>
      </c>
      <c r="G26" s="1">
        <v>5500</v>
      </c>
      <c r="H26" s="1">
        <v>1320</v>
      </c>
      <c r="I26" s="7">
        <f t="shared" si="0"/>
        <v>0.24</v>
      </c>
    </row>
    <row r="27" spans="1:9" x14ac:dyDescent="0.25">
      <c r="A27" t="s">
        <v>228</v>
      </c>
      <c r="B27" s="6">
        <v>45079</v>
      </c>
      <c r="C27" t="s">
        <v>190</v>
      </c>
      <c r="D27">
        <v>104</v>
      </c>
      <c r="E27">
        <v>103</v>
      </c>
      <c r="F27">
        <v>105</v>
      </c>
      <c r="G27" s="1">
        <v>4625</v>
      </c>
      <c r="H27" s="1">
        <v>1001</v>
      </c>
      <c r="I27" s="7">
        <f t="shared" si="0"/>
        <v>0.21643243243243243</v>
      </c>
    </row>
    <row r="28" spans="1:9" x14ac:dyDescent="0.25">
      <c r="A28" t="s">
        <v>229</v>
      </c>
      <c r="B28" s="6">
        <v>45079</v>
      </c>
      <c r="C28" t="s">
        <v>190</v>
      </c>
      <c r="D28">
        <v>104</v>
      </c>
      <c r="E28">
        <v>103</v>
      </c>
      <c r="F28">
        <v>105</v>
      </c>
      <c r="G28" s="1">
        <v>4500</v>
      </c>
      <c r="H28" s="1">
        <v>960</v>
      </c>
      <c r="I28" s="7">
        <f t="shared" si="0"/>
        <v>0.21333333333333335</v>
      </c>
    </row>
    <row r="29" spans="1:9" x14ac:dyDescent="0.25">
      <c r="A29" t="s">
        <v>230</v>
      </c>
      <c r="B29" s="6">
        <v>45079</v>
      </c>
      <c r="C29" t="s">
        <v>199</v>
      </c>
      <c r="D29">
        <v>104</v>
      </c>
      <c r="E29">
        <v>103</v>
      </c>
      <c r="F29">
        <v>101</v>
      </c>
      <c r="G29" s="1">
        <v>5400</v>
      </c>
      <c r="H29" s="1">
        <v>540</v>
      </c>
      <c r="I29" s="7">
        <f t="shared" si="0"/>
        <v>0.1</v>
      </c>
    </row>
    <row r="30" spans="1:9" x14ac:dyDescent="0.25">
      <c r="A30" t="s">
        <v>236</v>
      </c>
      <c r="B30" s="6">
        <v>45108</v>
      </c>
      <c r="C30" t="s">
        <v>188</v>
      </c>
      <c r="D30">
        <v>104</v>
      </c>
      <c r="E30">
        <v>104</v>
      </c>
      <c r="F30">
        <v>102</v>
      </c>
      <c r="G30" s="10" t="s">
        <v>237</v>
      </c>
      <c r="H30" s="10" t="s">
        <v>238</v>
      </c>
      <c r="I30" s="9">
        <v>0.09</v>
      </c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zoomScaleNormal="100" workbookViewId="0">
      <selection activeCell="C15" sqref="C15"/>
    </sheetView>
  </sheetViews>
  <sheetFormatPr defaultColWidth="11" defaultRowHeight="15.75" x14ac:dyDescent="0.25"/>
  <cols>
    <col min="1" max="1" width="14.75" customWidth="1"/>
    <col min="2" max="2" width="43.12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1" spans="1:2" ht="23.25" x14ac:dyDescent="0.35">
      <c r="A1" s="4" t="s">
        <v>47</v>
      </c>
      <c r="B1" s="8" t="s">
        <v>202</v>
      </c>
    </row>
    <row r="2" spans="1:2" x14ac:dyDescent="0.25">
      <c r="A2" t="s">
        <v>48</v>
      </c>
      <c r="B2">
        <v>101</v>
      </c>
    </row>
    <row r="3" spans="1:2" x14ac:dyDescent="0.25">
      <c r="A3" t="s">
        <v>50</v>
      </c>
      <c r="B3">
        <v>102</v>
      </c>
    </row>
    <row r="4" spans="1:2" x14ac:dyDescent="0.25">
      <c r="A4" t="s">
        <v>159</v>
      </c>
      <c r="B4">
        <v>103</v>
      </c>
    </row>
    <row r="5" spans="1:2" x14ac:dyDescent="0.25">
      <c r="A5" t="s">
        <v>49</v>
      </c>
      <c r="B5">
        <v>104</v>
      </c>
    </row>
    <row r="6" spans="1:2" x14ac:dyDescent="0.25">
      <c r="A6" t="s">
        <v>51</v>
      </c>
      <c r="B6">
        <v>105</v>
      </c>
    </row>
    <row r="30" spans="8:8" x14ac:dyDescent="0.25">
      <c r="H30" s="1"/>
    </row>
    <row r="33" spans="9:9" x14ac:dyDescent="0.25">
      <c r="I33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</sheetData>
  <sortState ref="A3:B7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zoomScaleNormal="100" workbookViewId="0">
      <selection activeCell="C18" sqref="B18:C18"/>
    </sheetView>
  </sheetViews>
  <sheetFormatPr defaultColWidth="11" defaultRowHeight="15.75" x14ac:dyDescent="0.25"/>
  <cols>
    <col min="1" max="1" width="10.375" customWidth="1"/>
    <col min="2" max="2" width="21.375" customWidth="1"/>
    <col min="3" max="3" width="35.625" customWidth="1"/>
    <col min="4" max="4" width="34" customWidth="1"/>
    <col min="5" max="5" width="18.25" customWidth="1"/>
    <col min="6" max="7" width="16.875" customWidth="1"/>
    <col min="8" max="8" width="12.5" bestFit="1" customWidth="1"/>
    <col min="9" max="9" width="12.25" bestFit="1" customWidth="1"/>
    <col min="10" max="10" width="16.625" customWidth="1"/>
    <col min="11" max="11" width="18.25" bestFit="1" customWidth="1"/>
  </cols>
  <sheetData>
    <row r="2" spans="1:2" ht="23.25" x14ac:dyDescent="0.35">
      <c r="A2" s="4" t="s">
        <v>168</v>
      </c>
      <c r="B2" s="8" t="s">
        <v>201</v>
      </c>
    </row>
    <row r="3" spans="1:2" x14ac:dyDescent="0.25">
      <c r="A3" t="s">
        <v>167</v>
      </c>
      <c r="B3">
        <v>101</v>
      </c>
    </row>
    <row r="4" spans="1:2" x14ac:dyDescent="0.25">
      <c r="A4" t="s">
        <v>165</v>
      </c>
      <c r="B4">
        <v>102</v>
      </c>
    </row>
    <row r="5" spans="1:2" x14ac:dyDescent="0.25">
      <c r="A5" t="s">
        <v>163</v>
      </c>
      <c r="B5">
        <v>103</v>
      </c>
    </row>
    <row r="6" spans="1:2" x14ac:dyDescent="0.25">
      <c r="A6" t="s">
        <v>161</v>
      </c>
      <c r="B6">
        <v>104</v>
      </c>
    </row>
    <row r="31" spans="8:8" x14ac:dyDescent="0.25">
      <c r="H31" s="1"/>
    </row>
    <row r="34" spans="9:9" x14ac:dyDescent="0.25">
      <c r="I34" s="1"/>
    </row>
    <row r="35" spans="9:9" x14ac:dyDescent="0.25">
      <c r="I35" s="1"/>
    </row>
    <row r="36" spans="9:9" x14ac:dyDescent="0.25">
      <c r="I36" s="1"/>
    </row>
    <row r="37" spans="9:9" x14ac:dyDescent="0.25">
      <c r="I37" s="1"/>
    </row>
    <row r="38" spans="9:9" x14ac:dyDescent="0.25">
      <c r="I38" s="1"/>
    </row>
    <row r="39" spans="9:9" x14ac:dyDescent="0.25">
      <c r="I39" s="1"/>
    </row>
    <row r="40" spans="9:9" x14ac:dyDescent="0.25">
      <c r="I40" s="1"/>
    </row>
    <row r="41" spans="9:9" x14ac:dyDescent="0.25">
      <c r="I41" s="1"/>
    </row>
    <row r="42" spans="9:9" x14ac:dyDescent="0.25">
      <c r="I42" s="1"/>
    </row>
  </sheetData>
  <sortState ref="A3:B6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Normal="100" workbookViewId="0">
      <selection activeCell="B18" sqref="B18"/>
    </sheetView>
  </sheetViews>
  <sheetFormatPr defaultColWidth="11" defaultRowHeight="15.75" x14ac:dyDescent="0.25"/>
  <cols>
    <col min="1" max="1" width="18.25" customWidth="1"/>
    <col min="2" max="2" width="18.25" bestFit="1" customWidth="1"/>
  </cols>
  <sheetData>
    <row r="1" spans="1:2" ht="23.25" x14ac:dyDescent="0.35">
      <c r="A1" s="4" t="s">
        <v>6</v>
      </c>
      <c r="B1" s="8" t="s">
        <v>235</v>
      </c>
    </row>
    <row r="2" spans="1:2" x14ac:dyDescent="0.25">
      <c r="A2" t="s">
        <v>166</v>
      </c>
      <c r="B2">
        <v>101</v>
      </c>
    </row>
    <row r="3" spans="1:2" x14ac:dyDescent="0.25">
      <c r="A3" t="s">
        <v>160</v>
      </c>
      <c r="B3">
        <v>102</v>
      </c>
    </row>
    <row r="4" spans="1:2" x14ac:dyDescent="0.25">
      <c r="A4" t="s">
        <v>164</v>
      </c>
      <c r="B4">
        <v>103</v>
      </c>
    </row>
    <row r="5" spans="1:2" x14ac:dyDescent="0.25">
      <c r="A5" t="s">
        <v>162</v>
      </c>
      <c r="B5">
        <v>104</v>
      </c>
    </row>
  </sheetData>
  <sortState ref="A3:B6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zoomScaleNormal="100" workbookViewId="0">
      <selection activeCell="E31" sqref="E31"/>
    </sheetView>
  </sheetViews>
  <sheetFormatPr defaultColWidth="11" defaultRowHeight="15.75" x14ac:dyDescent="0.25"/>
  <cols>
    <col min="1" max="1" width="33.375" customWidth="1"/>
    <col min="2" max="2" width="16" customWidth="1"/>
    <col min="3" max="3" width="43.125" customWidth="1"/>
    <col min="4" max="4" width="35.625" customWidth="1"/>
    <col min="5" max="5" width="34" customWidth="1"/>
    <col min="6" max="6" width="18.25" bestFit="1" customWidth="1"/>
  </cols>
  <sheetData>
    <row r="1" spans="1:4" ht="23.25" x14ac:dyDescent="0.35">
      <c r="A1" s="4" t="s">
        <v>171</v>
      </c>
      <c r="B1" s="4" t="s">
        <v>234</v>
      </c>
      <c r="C1" s="4" t="s">
        <v>169</v>
      </c>
      <c r="D1" s="4" t="s">
        <v>170</v>
      </c>
    </row>
    <row r="2" spans="1:4" x14ac:dyDescent="0.25">
      <c r="A2" t="s">
        <v>72</v>
      </c>
      <c r="B2" t="s">
        <v>172</v>
      </c>
      <c r="C2" t="s">
        <v>103</v>
      </c>
      <c r="D2" t="s">
        <v>104</v>
      </c>
    </row>
    <row r="3" spans="1:4" x14ac:dyDescent="0.25">
      <c r="A3" t="s">
        <v>73</v>
      </c>
      <c r="B3" t="s">
        <v>173</v>
      </c>
      <c r="C3" t="s">
        <v>105</v>
      </c>
      <c r="D3" t="s">
        <v>106</v>
      </c>
    </row>
    <row r="4" spans="1:4" x14ac:dyDescent="0.25">
      <c r="A4" t="s">
        <v>74</v>
      </c>
      <c r="B4" t="s">
        <v>174</v>
      </c>
      <c r="C4" t="s">
        <v>107</v>
      </c>
      <c r="D4" t="s">
        <v>108</v>
      </c>
    </row>
    <row r="5" spans="1:4" x14ac:dyDescent="0.25">
      <c r="A5" t="s">
        <v>75</v>
      </c>
      <c r="B5" t="s">
        <v>175</v>
      </c>
      <c r="C5" t="s">
        <v>109</v>
      </c>
      <c r="D5" t="s">
        <v>110</v>
      </c>
    </row>
    <row r="6" spans="1:4" x14ac:dyDescent="0.25">
      <c r="A6" t="s">
        <v>76</v>
      </c>
      <c r="B6" t="s">
        <v>176</v>
      </c>
      <c r="C6" t="s">
        <v>111</v>
      </c>
      <c r="D6" t="s">
        <v>112</v>
      </c>
    </row>
    <row r="7" spans="1:4" x14ac:dyDescent="0.25">
      <c r="A7" t="s">
        <v>77</v>
      </c>
      <c r="B7" t="s">
        <v>177</v>
      </c>
      <c r="C7" t="s">
        <v>113</v>
      </c>
      <c r="D7" t="s">
        <v>114</v>
      </c>
    </row>
    <row r="8" spans="1:4" x14ac:dyDescent="0.25">
      <c r="A8" t="s">
        <v>78</v>
      </c>
      <c r="B8" t="s">
        <v>178</v>
      </c>
      <c r="C8" t="s">
        <v>115</v>
      </c>
      <c r="D8" t="s">
        <v>116</v>
      </c>
    </row>
    <row r="9" spans="1:4" x14ac:dyDescent="0.25">
      <c r="A9" t="s">
        <v>79</v>
      </c>
      <c r="B9" t="s">
        <v>179</v>
      </c>
      <c r="C9" t="s">
        <v>117</v>
      </c>
      <c r="D9" t="s">
        <v>118</v>
      </c>
    </row>
    <row r="10" spans="1:4" x14ac:dyDescent="0.25">
      <c r="A10" t="s">
        <v>80</v>
      </c>
      <c r="B10" t="s">
        <v>180</v>
      </c>
      <c r="C10" t="s">
        <v>119</v>
      </c>
      <c r="D10" t="s">
        <v>120</v>
      </c>
    </row>
    <row r="11" spans="1:4" x14ac:dyDescent="0.25">
      <c r="A11" t="s">
        <v>81</v>
      </c>
      <c r="B11" t="s">
        <v>181</v>
      </c>
      <c r="C11" t="s">
        <v>121</v>
      </c>
      <c r="D11" t="s">
        <v>122</v>
      </c>
    </row>
    <row r="12" spans="1:4" x14ac:dyDescent="0.25">
      <c r="A12" t="s">
        <v>82</v>
      </c>
      <c r="B12" t="s">
        <v>182</v>
      </c>
      <c r="C12" t="s">
        <v>123</v>
      </c>
      <c r="D12" t="s">
        <v>124</v>
      </c>
    </row>
    <row r="13" spans="1:4" x14ac:dyDescent="0.25">
      <c r="A13" t="s">
        <v>83</v>
      </c>
      <c r="B13" t="s">
        <v>183</v>
      </c>
      <c r="C13" t="s">
        <v>125</v>
      </c>
      <c r="D13" t="s">
        <v>126</v>
      </c>
    </row>
    <row r="14" spans="1:4" x14ac:dyDescent="0.25">
      <c r="A14" t="s">
        <v>84</v>
      </c>
      <c r="B14" t="s">
        <v>184</v>
      </c>
      <c r="C14" t="s">
        <v>127</v>
      </c>
      <c r="D14" t="s">
        <v>128</v>
      </c>
    </row>
    <row r="15" spans="1:4" x14ac:dyDescent="0.25">
      <c r="A15" t="s">
        <v>85</v>
      </c>
      <c r="B15" t="s">
        <v>185</v>
      </c>
      <c r="C15" t="s">
        <v>129</v>
      </c>
      <c r="D15" t="s">
        <v>130</v>
      </c>
    </row>
    <row r="16" spans="1:4" x14ac:dyDescent="0.25">
      <c r="A16" t="s">
        <v>86</v>
      </c>
      <c r="B16" t="s">
        <v>186</v>
      </c>
      <c r="C16" t="s">
        <v>131</v>
      </c>
      <c r="D16" t="s">
        <v>132</v>
      </c>
    </row>
    <row r="17" spans="1:4" x14ac:dyDescent="0.25">
      <c r="A17" t="s">
        <v>87</v>
      </c>
      <c r="B17" t="s">
        <v>187</v>
      </c>
      <c r="C17" t="s">
        <v>133</v>
      </c>
      <c r="D17" t="s">
        <v>134</v>
      </c>
    </row>
    <row r="18" spans="1:4" x14ac:dyDescent="0.25">
      <c r="A18" t="s">
        <v>88</v>
      </c>
      <c r="B18" t="s">
        <v>188</v>
      </c>
      <c r="C18" t="s">
        <v>135</v>
      </c>
      <c r="D18" t="s">
        <v>136</v>
      </c>
    </row>
    <row r="19" spans="1:4" x14ac:dyDescent="0.25">
      <c r="A19" t="s">
        <v>89</v>
      </c>
      <c r="B19" t="s">
        <v>189</v>
      </c>
      <c r="C19" t="s">
        <v>137</v>
      </c>
      <c r="D19" t="s">
        <v>138</v>
      </c>
    </row>
    <row r="20" spans="1:4" x14ac:dyDescent="0.25">
      <c r="A20" t="s">
        <v>90</v>
      </c>
      <c r="B20" t="s">
        <v>190</v>
      </c>
      <c r="C20" t="s">
        <v>139</v>
      </c>
      <c r="D20" t="s">
        <v>140</v>
      </c>
    </row>
    <row r="21" spans="1:4" x14ac:dyDescent="0.25">
      <c r="A21" t="s">
        <v>91</v>
      </c>
      <c r="B21" t="s">
        <v>191</v>
      </c>
      <c r="C21" t="s">
        <v>141</v>
      </c>
      <c r="D21" t="s">
        <v>142</v>
      </c>
    </row>
    <row r="22" spans="1:4" x14ac:dyDescent="0.25">
      <c r="A22" t="s">
        <v>92</v>
      </c>
      <c r="B22" t="s">
        <v>192</v>
      </c>
      <c r="C22" t="s">
        <v>143</v>
      </c>
      <c r="D22" t="s">
        <v>144</v>
      </c>
    </row>
    <row r="23" spans="1:4" x14ac:dyDescent="0.25">
      <c r="A23" t="s">
        <v>93</v>
      </c>
      <c r="B23" t="s">
        <v>193</v>
      </c>
      <c r="C23" t="s">
        <v>145</v>
      </c>
      <c r="D23" t="s">
        <v>146</v>
      </c>
    </row>
    <row r="24" spans="1:4" x14ac:dyDescent="0.25">
      <c r="A24" t="s">
        <v>94</v>
      </c>
      <c r="B24" t="s">
        <v>194</v>
      </c>
      <c r="C24" t="s">
        <v>147</v>
      </c>
      <c r="D24" t="s">
        <v>148</v>
      </c>
    </row>
    <row r="25" spans="1:4" x14ac:dyDescent="0.25">
      <c r="A25" t="s">
        <v>95</v>
      </c>
      <c r="B25" t="s">
        <v>195</v>
      </c>
      <c r="C25" t="s">
        <v>149</v>
      </c>
      <c r="D25" t="s">
        <v>150</v>
      </c>
    </row>
    <row r="26" spans="1:4" x14ac:dyDescent="0.25">
      <c r="A26" t="s">
        <v>96</v>
      </c>
      <c r="B26" t="s">
        <v>196</v>
      </c>
      <c r="C26" t="s">
        <v>151</v>
      </c>
      <c r="D26" t="s">
        <v>152</v>
      </c>
    </row>
    <row r="27" spans="1:4" x14ac:dyDescent="0.25">
      <c r="A27" t="s">
        <v>97</v>
      </c>
      <c r="B27" t="s">
        <v>197</v>
      </c>
      <c r="C27" t="s">
        <v>153</v>
      </c>
      <c r="D27" t="s">
        <v>154</v>
      </c>
    </row>
    <row r="28" spans="1:4" x14ac:dyDescent="0.25">
      <c r="A28" t="s">
        <v>98</v>
      </c>
      <c r="B28" t="s">
        <v>198</v>
      </c>
      <c r="C28" t="s">
        <v>155</v>
      </c>
      <c r="D28" t="s">
        <v>156</v>
      </c>
    </row>
    <row r="29" spans="1:4" x14ac:dyDescent="0.25">
      <c r="A29" t="s">
        <v>99</v>
      </c>
      <c r="B29" t="s">
        <v>199</v>
      </c>
      <c r="C29" t="s">
        <v>157</v>
      </c>
      <c r="D29" t="s">
        <v>158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opLeftCell="A7" zoomScale="115" zoomScaleNormal="115" workbookViewId="0">
      <selection activeCell="E20" sqref="E20"/>
    </sheetView>
  </sheetViews>
  <sheetFormatPr defaultColWidth="11" defaultRowHeight="15.75" x14ac:dyDescent="0.25"/>
  <cols>
    <col min="1" max="1" width="3.5" customWidth="1"/>
    <col min="2" max="2" width="5.875" customWidth="1"/>
    <col min="3" max="3" width="21" customWidth="1"/>
    <col min="4" max="4" width="16.875" bestFit="1" customWidth="1"/>
    <col min="5" max="5" width="20.625" customWidth="1"/>
    <col min="6" max="6" width="12.25" bestFit="1" customWidth="1"/>
    <col min="7" max="7" width="12" bestFit="1" customWidth="1"/>
    <col min="8" max="8" width="8.25" bestFit="1" customWidth="1"/>
    <col min="9" max="9" width="18.125" bestFit="1" customWidth="1"/>
  </cols>
  <sheetData>
    <row r="2" spans="2:9" ht="23.25" x14ac:dyDescent="0.35">
      <c r="B2" s="4" t="s">
        <v>0</v>
      </c>
      <c r="C2" s="4" t="s">
        <v>5</v>
      </c>
      <c r="D2" s="4" t="s">
        <v>1</v>
      </c>
      <c r="E2" s="4" t="s">
        <v>6</v>
      </c>
      <c r="F2" s="4" t="s">
        <v>47</v>
      </c>
      <c r="G2" s="4" t="s">
        <v>2</v>
      </c>
      <c r="H2" s="4" t="s">
        <v>3</v>
      </c>
      <c r="I2" s="4" t="s">
        <v>4</v>
      </c>
    </row>
    <row r="3" spans="2:9" x14ac:dyDescent="0.25">
      <c r="B3" s="3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3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3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3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3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25">
      <c r="B8" s="3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3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ht="164.25" customHeight="1" x14ac:dyDescent="0.25">
      <c r="B10" s="3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3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25">
      <c r="B12" s="3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3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3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3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3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3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25">
      <c r="B18" s="3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3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59.75" customHeight="1" x14ac:dyDescent="0.25">
      <c r="B20" s="3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3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3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x14ac:dyDescent="0.25">
      <c r="B23" s="3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25">
      <c r="B24" s="3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3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3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3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3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3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3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3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3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3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zoomScaleNormal="100" workbookViewId="0">
      <selection sqref="A1:XFD1"/>
    </sheetView>
  </sheetViews>
  <sheetFormatPr defaultColWidth="11" defaultRowHeight="15.75" x14ac:dyDescent="0.25"/>
  <cols>
    <col min="1" max="1" width="19" customWidth="1"/>
    <col min="2" max="2" width="10.375" customWidth="1"/>
    <col min="3" max="3" width="43.125" customWidth="1"/>
    <col min="4" max="4" width="35.625" customWidth="1"/>
    <col min="5" max="5" width="34" customWidth="1"/>
    <col min="6" max="6" width="18.25" customWidth="1"/>
    <col min="7" max="8" width="16.875" customWidth="1"/>
    <col min="9" max="9" width="12.5" bestFit="1" customWidth="1"/>
    <col min="10" max="10" width="12.25" bestFit="1" customWidth="1"/>
    <col min="11" max="11" width="16.625" customWidth="1"/>
    <col min="12" max="12" width="18.25" bestFit="1" customWidth="1"/>
  </cols>
  <sheetData>
    <row r="1" spans="1:11" ht="23.25" x14ac:dyDescent="0.35">
      <c r="A1" s="8" t="s">
        <v>231</v>
      </c>
      <c r="B1" s="5" t="s">
        <v>0</v>
      </c>
      <c r="C1" s="4" t="s">
        <v>5</v>
      </c>
      <c r="D1" s="4" t="s">
        <v>1</v>
      </c>
      <c r="E1" s="4" t="s">
        <v>102</v>
      </c>
      <c r="F1" s="4" t="s">
        <v>6</v>
      </c>
      <c r="G1" s="4" t="s">
        <v>168</v>
      </c>
      <c r="H1" s="4" t="s">
        <v>47</v>
      </c>
      <c r="I1" s="4" t="s">
        <v>2</v>
      </c>
      <c r="J1" s="4" t="s">
        <v>3</v>
      </c>
      <c r="K1" s="4" t="s">
        <v>4</v>
      </c>
    </row>
    <row r="2" spans="1:11" x14ac:dyDescent="0.25">
      <c r="A2" t="s">
        <v>203</v>
      </c>
      <c r="B2" s="6">
        <v>45076</v>
      </c>
      <c r="C2" t="s">
        <v>72</v>
      </c>
      <c r="D2" t="s">
        <v>103</v>
      </c>
      <c r="E2" t="s">
        <v>104</v>
      </c>
      <c r="F2" t="s">
        <v>160</v>
      </c>
      <c r="G2" t="s">
        <v>161</v>
      </c>
      <c r="H2" t="s">
        <v>51</v>
      </c>
      <c r="I2" s="1">
        <v>4500</v>
      </c>
      <c r="J2" s="1">
        <v>598</v>
      </c>
      <c r="K2" s="7">
        <f>IFERROR(J2/I2,0)</f>
        <v>0.13288888888888889</v>
      </c>
    </row>
    <row r="3" spans="1:11" x14ac:dyDescent="0.25">
      <c r="A3" t="s">
        <v>204</v>
      </c>
      <c r="B3" s="6">
        <v>45076</v>
      </c>
      <c r="C3" t="s">
        <v>73</v>
      </c>
      <c r="D3" t="s">
        <v>105</v>
      </c>
      <c r="E3" t="s">
        <v>106</v>
      </c>
      <c r="F3" t="s">
        <v>162</v>
      </c>
      <c r="G3" t="s">
        <v>163</v>
      </c>
      <c r="H3" t="s">
        <v>49</v>
      </c>
      <c r="I3" s="1">
        <v>3800</v>
      </c>
      <c r="J3" s="1">
        <v>1045</v>
      </c>
      <c r="K3" s="7">
        <f t="shared" ref="K3:K29" si="0">IFERROR(J3/I3,0)</f>
        <v>0.27500000000000002</v>
      </c>
    </row>
    <row r="4" spans="1:11" x14ac:dyDescent="0.25">
      <c r="A4" t="s">
        <v>208</v>
      </c>
      <c r="B4" s="6">
        <v>45076</v>
      </c>
      <c r="C4" t="s">
        <v>74</v>
      </c>
      <c r="D4" t="s">
        <v>107</v>
      </c>
      <c r="E4" t="s">
        <v>108</v>
      </c>
      <c r="F4" t="s">
        <v>162</v>
      </c>
      <c r="G4" t="s">
        <v>163</v>
      </c>
      <c r="H4" t="s">
        <v>159</v>
      </c>
      <c r="I4" s="1">
        <v>3712.5</v>
      </c>
      <c r="J4" s="1">
        <v>1009</v>
      </c>
      <c r="K4" s="7">
        <f t="shared" si="0"/>
        <v>0.2717845117845118</v>
      </c>
    </row>
    <row r="5" spans="1:11" x14ac:dyDescent="0.25">
      <c r="A5" t="s">
        <v>207</v>
      </c>
      <c r="B5" s="6">
        <v>45076</v>
      </c>
      <c r="C5" t="s">
        <v>75</v>
      </c>
      <c r="D5" t="s">
        <v>109</v>
      </c>
      <c r="E5" t="s">
        <v>110</v>
      </c>
      <c r="F5" t="s">
        <v>164</v>
      </c>
      <c r="G5" t="s">
        <v>165</v>
      </c>
      <c r="H5" t="s">
        <v>159</v>
      </c>
      <c r="I5" s="1">
        <v>4974.3269230769229</v>
      </c>
      <c r="J5" s="1">
        <v>779</v>
      </c>
      <c r="K5" s="7">
        <f>IFERROR(J5/I5,0)</f>
        <v>0.15660410183055304</v>
      </c>
    </row>
    <row r="6" spans="1:11" x14ac:dyDescent="0.25">
      <c r="A6" t="s">
        <v>206</v>
      </c>
      <c r="B6" s="6">
        <v>45076</v>
      </c>
      <c r="C6" t="s">
        <v>76</v>
      </c>
      <c r="D6" t="s">
        <v>111</v>
      </c>
      <c r="E6" t="s">
        <v>112</v>
      </c>
      <c r="F6" t="s">
        <v>164</v>
      </c>
      <c r="G6" t="s">
        <v>165</v>
      </c>
      <c r="H6" t="s">
        <v>50</v>
      </c>
      <c r="I6" s="1">
        <v>5000</v>
      </c>
      <c r="J6" s="1">
        <v>684</v>
      </c>
      <c r="K6" s="7">
        <f t="shared" si="0"/>
        <v>0.1368</v>
      </c>
    </row>
    <row r="7" spans="1:11" x14ac:dyDescent="0.25">
      <c r="A7" t="s">
        <v>209</v>
      </c>
      <c r="B7" s="6">
        <v>45077</v>
      </c>
      <c r="C7" t="s">
        <v>77</v>
      </c>
      <c r="D7" t="s">
        <v>113</v>
      </c>
      <c r="E7" t="s">
        <v>114</v>
      </c>
      <c r="F7" t="s">
        <v>160</v>
      </c>
      <c r="G7" t="s">
        <v>161</v>
      </c>
      <c r="H7" t="s">
        <v>51</v>
      </c>
      <c r="I7" s="1">
        <v>6100</v>
      </c>
      <c r="J7" s="1">
        <v>544</v>
      </c>
      <c r="K7" s="7">
        <f t="shared" si="0"/>
        <v>8.9180327868852466E-2</v>
      </c>
    </row>
    <row r="8" spans="1:11" x14ac:dyDescent="0.25">
      <c r="A8" t="s">
        <v>210</v>
      </c>
      <c r="B8" s="6">
        <v>45077</v>
      </c>
      <c r="C8" t="s">
        <v>78</v>
      </c>
      <c r="D8" t="s">
        <v>115</v>
      </c>
      <c r="E8" t="s">
        <v>116</v>
      </c>
      <c r="F8" t="s">
        <v>160</v>
      </c>
      <c r="G8" t="s">
        <v>161</v>
      </c>
      <c r="H8" t="s">
        <v>51</v>
      </c>
      <c r="I8" s="1">
        <v>4625</v>
      </c>
      <c r="J8" s="1">
        <v>670</v>
      </c>
      <c r="K8" s="7">
        <f t="shared" si="0"/>
        <v>0.14486486486486486</v>
      </c>
    </row>
    <row r="9" spans="1:11" x14ac:dyDescent="0.25">
      <c r="A9" t="s">
        <v>211</v>
      </c>
      <c r="B9" s="6">
        <v>45077</v>
      </c>
      <c r="C9" t="s">
        <v>79</v>
      </c>
      <c r="D9" t="s">
        <v>117</v>
      </c>
      <c r="E9" t="s">
        <v>118</v>
      </c>
      <c r="F9" t="s">
        <v>160</v>
      </c>
      <c r="G9" t="s">
        <v>161</v>
      </c>
      <c r="H9" t="s">
        <v>51</v>
      </c>
      <c r="I9" s="1">
        <v>3800</v>
      </c>
      <c r="J9" s="1">
        <v>2045</v>
      </c>
      <c r="K9" s="7">
        <f t="shared" si="0"/>
        <v>0.53815789473684206</v>
      </c>
    </row>
    <row r="10" spans="1:11" x14ac:dyDescent="0.25">
      <c r="A10" t="s">
        <v>205</v>
      </c>
      <c r="B10" s="6">
        <v>45077</v>
      </c>
      <c r="C10" t="s">
        <v>80</v>
      </c>
      <c r="D10" t="s">
        <v>119</v>
      </c>
      <c r="E10" t="s">
        <v>120</v>
      </c>
      <c r="F10" t="s">
        <v>160</v>
      </c>
      <c r="G10" t="s">
        <v>161</v>
      </c>
      <c r="H10" t="s">
        <v>48</v>
      </c>
      <c r="I10" s="1">
        <v>3600</v>
      </c>
      <c r="J10" s="1">
        <v>1564</v>
      </c>
      <c r="K10" s="7">
        <f t="shared" si="0"/>
        <v>0.43444444444444447</v>
      </c>
    </row>
    <row r="11" spans="1:11" x14ac:dyDescent="0.25">
      <c r="A11" t="s">
        <v>212</v>
      </c>
      <c r="B11" s="6">
        <v>45077</v>
      </c>
      <c r="C11" t="s">
        <v>81</v>
      </c>
      <c r="D11" t="s">
        <v>121</v>
      </c>
      <c r="E11" t="s">
        <v>122</v>
      </c>
      <c r="F11" t="s">
        <v>160</v>
      </c>
      <c r="G11" t="s">
        <v>161</v>
      </c>
      <c r="H11" t="s">
        <v>50</v>
      </c>
      <c r="I11" s="1">
        <v>5100</v>
      </c>
      <c r="J11" s="1">
        <v>1220</v>
      </c>
      <c r="K11" s="7">
        <f t="shared" si="0"/>
        <v>0.23921568627450981</v>
      </c>
    </row>
    <row r="12" spans="1:11" x14ac:dyDescent="0.25">
      <c r="A12" t="s">
        <v>213</v>
      </c>
      <c r="B12" s="6">
        <v>45077</v>
      </c>
      <c r="C12" t="s">
        <v>82</v>
      </c>
      <c r="D12" t="s">
        <v>123</v>
      </c>
      <c r="E12" t="s">
        <v>124</v>
      </c>
      <c r="F12" t="s">
        <v>160</v>
      </c>
      <c r="G12" t="s">
        <v>161</v>
      </c>
      <c r="H12" t="s">
        <v>50</v>
      </c>
      <c r="I12" s="1">
        <v>4750</v>
      </c>
      <c r="J12" s="1">
        <v>1435</v>
      </c>
      <c r="K12" s="7">
        <f t="shared" si="0"/>
        <v>0.30210526315789471</v>
      </c>
    </row>
    <row r="13" spans="1:11" x14ac:dyDescent="0.25">
      <c r="A13" t="s">
        <v>214</v>
      </c>
      <c r="B13" s="6">
        <v>45077</v>
      </c>
      <c r="C13" t="s">
        <v>83</v>
      </c>
      <c r="D13" t="s">
        <v>125</v>
      </c>
      <c r="E13" t="s">
        <v>126</v>
      </c>
      <c r="F13" t="s">
        <v>164</v>
      </c>
      <c r="G13" t="s">
        <v>165</v>
      </c>
      <c r="H13" t="s">
        <v>51</v>
      </c>
      <c r="I13" s="1">
        <v>6000</v>
      </c>
      <c r="J13" s="1">
        <v>998</v>
      </c>
      <c r="K13" s="7">
        <f t="shared" si="0"/>
        <v>0.16633333333333333</v>
      </c>
    </row>
    <row r="14" spans="1:11" x14ac:dyDescent="0.25">
      <c r="A14" t="s">
        <v>215</v>
      </c>
      <c r="B14" s="6">
        <v>45077</v>
      </c>
      <c r="C14" t="s">
        <v>84</v>
      </c>
      <c r="D14" t="s">
        <v>127</v>
      </c>
      <c r="E14" t="s">
        <v>128</v>
      </c>
      <c r="F14" t="s">
        <v>166</v>
      </c>
      <c r="G14" t="s">
        <v>167</v>
      </c>
      <c r="H14" t="s">
        <v>50</v>
      </c>
      <c r="I14" s="1">
        <v>4500</v>
      </c>
      <c r="J14" s="1">
        <v>780</v>
      </c>
      <c r="K14" s="7">
        <f t="shared" si="0"/>
        <v>0.17333333333333334</v>
      </c>
    </row>
    <row r="15" spans="1:11" x14ac:dyDescent="0.25">
      <c r="A15" t="s">
        <v>216</v>
      </c>
      <c r="B15" s="6">
        <v>45078</v>
      </c>
      <c r="C15" t="s">
        <v>85</v>
      </c>
      <c r="D15" t="s">
        <v>129</v>
      </c>
      <c r="E15" t="s">
        <v>130</v>
      </c>
      <c r="F15" t="s">
        <v>166</v>
      </c>
      <c r="G15" t="s">
        <v>167</v>
      </c>
      <c r="H15" t="s">
        <v>48</v>
      </c>
      <c r="I15" s="1">
        <v>4974.3269230769229</v>
      </c>
      <c r="J15" s="1">
        <v>1044</v>
      </c>
      <c r="K15" s="7">
        <f t="shared" si="0"/>
        <v>0.20987764096418149</v>
      </c>
    </row>
    <row r="16" spans="1:11" x14ac:dyDescent="0.25">
      <c r="A16" t="s">
        <v>217</v>
      </c>
      <c r="B16" s="6">
        <v>45078</v>
      </c>
      <c r="C16" t="s">
        <v>86</v>
      </c>
      <c r="D16" t="s">
        <v>131</v>
      </c>
      <c r="E16" t="s">
        <v>132</v>
      </c>
      <c r="F16" t="s">
        <v>166</v>
      </c>
      <c r="G16" t="s">
        <v>167</v>
      </c>
      <c r="H16" t="s">
        <v>51</v>
      </c>
      <c r="I16" s="1">
        <v>3712.5</v>
      </c>
      <c r="J16" s="1">
        <v>1222</v>
      </c>
      <c r="K16" s="7">
        <f t="shared" si="0"/>
        <v>0.32915824915824915</v>
      </c>
    </row>
    <row r="17" spans="1:11" x14ac:dyDescent="0.25">
      <c r="A17" t="s">
        <v>218</v>
      </c>
      <c r="B17" s="6">
        <v>45078</v>
      </c>
      <c r="C17" t="s">
        <v>87</v>
      </c>
      <c r="D17" t="s">
        <v>133</v>
      </c>
      <c r="E17" t="s">
        <v>134</v>
      </c>
      <c r="F17" t="s">
        <v>166</v>
      </c>
      <c r="G17" t="s">
        <v>167</v>
      </c>
      <c r="H17" t="s">
        <v>51</v>
      </c>
      <c r="I17" s="1">
        <v>4950</v>
      </c>
      <c r="J17" s="1">
        <v>1065</v>
      </c>
      <c r="K17" s="7">
        <f t="shared" si="0"/>
        <v>0.21515151515151515</v>
      </c>
    </row>
    <row r="18" spans="1:11" x14ac:dyDescent="0.25">
      <c r="A18" t="s">
        <v>219</v>
      </c>
      <c r="B18" s="6">
        <v>45078</v>
      </c>
      <c r="C18" t="s">
        <v>88</v>
      </c>
      <c r="D18" t="s">
        <v>135</v>
      </c>
      <c r="E18" t="s">
        <v>136</v>
      </c>
      <c r="F18" t="s">
        <v>164</v>
      </c>
      <c r="G18" t="s">
        <v>165</v>
      </c>
      <c r="H18" t="s">
        <v>51</v>
      </c>
      <c r="I18" s="1">
        <v>4750</v>
      </c>
      <c r="J18" s="1">
        <v>810</v>
      </c>
      <c r="K18" s="7">
        <f t="shared" si="0"/>
        <v>0.17052631578947369</v>
      </c>
    </row>
    <row r="19" spans="1:11" x14ac:dyDescent="0.25">
      <c r="A19" t="s">
        <v>220</v>
      </c>
      <c r="B19" s="6">
        <v>45078</v>
      </c>
      <c r="C19" t="s">
        <v>89</v>
      </c>
      <c r="D19" t="s">
        <v>137</v>
      </c>
      <c r="E19" t="s">
        <v>138</v>
      </c>
      <c r="F19" t="s">
        <v>164</v>
      </c>
      <c r="G19" t="s">
        <v>165</v>
      </c>
      <c r="H19" t="s">
        <v>51</v>
      </c>
      <c r="I19" s="1">
        <v>7320</v>
      </c>
      <c r="J19" s="1">
        <v>933</v>
      </c>
      <c r="K19" s="7">
        <f t="shared" si="0"/>
        <v>0.12745901639344262</v>
      </c>
    </row>
    <row r="20" spans="1:11" x14ac:dyDescent="0.25">
      <c r="A20" t="s">
        <v>221</v>
      </c>
      <c r="B20" s="6">
        <v>45078</v>
      </c>
      <c r="C20" t="s">
        <v>90</v>
      </c>
      <c r="D20" t="s">
        <v>139</v>
      </c>
      <c r="E20" t="s">
        <v>140</v>
      </c>
      <c r="F20" t="s">
        <v>166</v>
      </c>
      <c r="G20" t="s">
        <v>167</v>
      </c>
      <c r="H20" t="s">
        <v>51</v>
      </c>
      <c r="I20" s="1">
        <v>5087.5</v>
      </c>
      <c r="J20" s="1">
        <v>655</v>
      </c>
      <c r="K20" s="7">
        <f t="shared" si="0"/>
        <v>0.12874692874692875</v>
      </c>
    </row>
    <row r="21" spans="1:11" x14ac:dyDescent="0.25">
      <c r="A21" t="s">
        <v>222</v>
      </c>
      <c r="B21" s="6">
        <v>45078</v>
      </c>
      <c r="C21" t="s">
        <v>91</v>
      </c>
      <c r="D21" t="s">
        <v>141</v>
      </c>
      <c r="E21" t="s">
        <v>142</v>
      </c>
      <c r="F21" t="s">
        <v>166</v>
      </c>
      <c r="G21" t="s">
        <v>167</v>
      </c>
      <c r="H21" t="s">
        <v>51</v>
      </c>
      <c r="I21" s="1">
        <v>4500</v>
      </c>
      <c r="J21" s="1">
        <v>722</v>
      </c>
      <c r="K21" s="7">
        <f t="shared" si="0"/>
        <v>0.16044444444444445</v>
      </c>
    </row>
    <row r="22" spans="1:11" x14ac:dyDescent="0.25">
      <c r="A22" t="s">
        <v>223</v>
      </c>
      <c r="B22" s="6">
        <v>45078</v>
      </c>
      <c r="C22" t="s">
        <v>92</v>
      </c>
      <c r="D22" t="s">
        <v>143</v>
      </c>
      <c r="E22" t="s">
        <v>144</v>
      </c>
      <c r="F22" t="s">
        <v>166</v>
      </c>
      <c r="G22" t="s">
        <v>167</v>
      </c>
      <c r="H22" t="s">
        <v>48</v>
      </c>
      <c r="I22" s="1">
        <v>4250</v>
      </c>
      <c r="J22" s="1">
        <v>901</v>
      </c>
      <c r="K22" s="7">
        <f t="shared" si="0"/>
        <v>0.21199999999999999</v>
      </c>
    </row>
    <row r="23" spans="1:11" x14ac:dyDescent="0.25">
      <c r="A23" t="s">
        <v>224</v>
      </c>
      <c r="B23" s="6">
        <v>45079</v>
      </c>
      <c r="C23" t="s">
        <v>93</v>
      </c>
      <c r="D23" t="s">
        <v>145</v>
      </c>
      <c r="E23" t="s">
        <v>146</v>
      </c>
      <c r="F23" t="s">
        <v>166</v>
      </c>
      <c r="G23" t="s">
        <v>167</v>
      </c>
      <c r="H23" t="s">
        <v>49</v>
      </c>
      <c r="I23" s="1">
        <v>5250</v>
      </c>
      <c r="J23" s="1">
        <v>1349</v>
      </c>
      <c r="K23" s="7">
        <f t="shared" si="0"/>
        <v>0.25695238095238093</v>
      </c>
    </row>
    <row r="24" spans="1:11" x14ac:dyDescent="0.25">
      <c r="A24" t="s">
        <v>225</v>
      </c>
      <c r="B24" s="6">
        <v>45079</v>
      </c>
      <c r="C24" t="s">
        <v>94</v>
      </c>
      <c r="D24" t="s">
        <v>147</v>
      </c>
      <c r="E24" t="s">
        <v>148</v>
      </c>
      <c r="F24" t="s">
        <v>162</v>
      </c>
      <c r="G24" t="s">
        <v>163</v>
      </c>
      <c r="H24" t="s">
        <v>49</v>
      </c>
      <c r="I24" s="1">
        <v>6500</v>
      </c>
      <c r="J24" s="1">
        <v>1288</v>
      </c>
      <c r="K24" s="7">
        <f t="shared" si="0"/>
        <v>0.19815384615384615</v>
      </c>
    </row>
    <row r="25" spans="1:11" x14ac:dyDescent="0.25">
      <c r="A25" t="s">
        <v>226</v>
      </c>
      <c r="B25" s="6">
        <v>45079</v>
      </c>
      <c r="C25" t="s">
        <v>95</v>
      </c>
      <c r="D25" t="s">
        <v>149</v>
      </c>
      <c r="E25" t="s">
        <v>150</v>
      </c>
      <c r="F25" t="s">
        <v>162</v>
      </c>
      <c r="G25" t="s">
        <v>163</v>
      </c>
      <c r="H25" t="s">
        <v>49</v>
      </c>
      <c r="I25" s="1">
        <v>7500</v>
      </c>
      <c r="J25" s="1">
        <v>1664</v>
      </c>
      <c r="K25" s="7">
        <f t="shared" si="0"/>
        <v>0.22186666666666666</v>
      </c>
    </row>
    <row r="26" spans="1:11" x14ac:dyDescent="0.25">
      <c r="A26" t="s">
        <v>227</v>
      </c>
      <c r="B26" s="6">
        <v>45079</v>
      </c>
      <c r="C26" t="s">
        <v>96</v>
      </c>
      <c r="D26" t="s">
        <v>151</v>
      </c>
      <c r="E26" t="s">
        <v>152</v>
      </c>
      <c r="F26" t="s">
        <v>162</v>
      </c>
      <c r="G26" t="s">
        <v>163</v>
      </c>
      <c r="H26" t="s">
        <v>51</v>
      </c>
      <c r="I26" s="1">
        <v>5500</v>
      </c>
      <c r="J26" s="1">
        <v>1320</v>
      </c>
      <c r="K26" s="7">
        <f t="shared" si="0"/>
        <v>0.24</v>
      </c>
    </row>
    <row r="27" spans="1:11" x14ac:dyDescent="0.25">
      <c r="A27" t="s">
        <v>228</v>
      </c>
      <c r="B27" s="6">
        <v>45079</v>
      </c>
      <c r="C27" t="s">
        <v>97</v>
      </c>
      <c r="D27" t="s">
        <v>153</v>
      </c>
      <c r="E27" t="s">
        <v>154</v>
      </c>
      <c r="F27" t="s">
        <v>162</v>
      </c>
      <c r="G27" t="s">
        <v>163</v>
      </c>
      <c r="H27" t="s">
        <v>51</v>
      </c>
      <c r="I27" s="1">
        <v>4625</v>
      </c>
      <c r="J27" s="1">
        <v>1001</v>
      </c>
      <c r="K27" s="7">
        <f t="shared" si="0"/>
        <v>0.21643243243243243</v>
      </c>
    </row>
    <row r="28" spans="1:11" x14ac:dyDescent="0.25">
      <c r="A28" t="s">
        <v>229</v>
      </c>
      <c r="B28" s="6">
        <v>45079</v>
      </c>
      <c r="C28" t="s">
        <v>98</v>
      </c>
      <c r="D28" t="s">
        <v>155</v>
      </c>
      <c r="E28" t="s">
        <v>156</v>
      </c>
      <c r="F28" t="s">
        <v>162</v>
      </c>
      <c r="G28" t="s">
        <v>163</v>
      </c>
      <c r="H28" t="s">
        <v>51</v>
      </c>
      <c r="I28" s="1">
        <v>4500</v>
      </c>
      <c r="J28" s="1">
        <v>960</v>
      </c>
      <c r="K28" s="7">
        <f t="shared" si="0"/>
        <v>0.21333333333333335</v>
      </c>
    </row>
    <row r="29" spans="1:11" x14ac:dyDescent="0.25">
      <c r="A29" t="s">
        <v>230</v>
      </c>
      <c r="B29" s="6">
        <v>45079</v>
      </c>
      <c r="C29" t="s">
        <v>99</v>
      </c>
      <c r="D29" t="s">
        <v>157</v>
      </c>
      <c r="E29" t="s">
        <v>158</v>
      </c>
      <c r="F29" t="s">
        <v>162</v>
      </c>
      <c r="G29" t="s">
        <v>163</v>
      </c>
      <c r="H29" t="s">
        <v>48</v>
      </c>
      <c r="I29" s="1">
        <v>5400</v>
      </c>
      <c r="J29" s="1">
        <v>540</v>
      </c>
      <c r="K29" s="7">
        <f t="shared" si="0"/>
        <v>0.1</v>
      </c>
    </row>
    <row r="30" spans="1:11" x14ac:dyDescent="0.25">
      <c r="I30" s="1">
        <f>AVERAGE(I2:I29)</f>
        <v>4974.3269230769229</v>
      </c>
    </row>
    <row r="33" spans="10:10" x14ac:dyDescent="0.25">
      <c r="J33" s="1"/>
    </row>
    <row r="34" spans="10:10" x14ac:dyDescent="0.25">
      <c r="J34" s="1"/>
    </row>
    <row r="35" spans="10:10" x14ac:dyDescent="0.25">
      <c r="J35" s="1"/>
    </row>
    <row r="36" spans="10:10" x14ac:dyDescent="0.25">
      <c r="J36" s="1"/>
    </row>
    <row r="37" spans="10:10" x14ac:dyDescent="0.25">
      <c r="J37" s="1"/>
    </row>
    <row r="38" spans="10:10" x14ac:dyDescent="0.25">
      <c r="J38" s="1"/>
    </row>
    <row r="39" spans="10:10" x14ac:dyDescent="0.25">
      <c r="J39" s="1"/>
    </row>
    <row r="40" spans="10:10" x14ac:dyDescent="0.25">
      <c r="J40" s="1"/>
    </row>
    <row r="41" spans="10:10" x14ac:dyDescent="0.25">
      <c r="J41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DB4423D-B466-4D22-9D69-01843717ECE2}">
  <ds:schemaRefs/>
</ds:datastoreItem>
</file>

<file path=customXml/itemProps2.xml><?xml version="1.0" encoding="utf-8"?>
<ds:datastoreItem xmlns:ds="http://schemas.openxmlformats.org/officeDocument/2006/customXml" ds:itemID="{2BB1DF1D-41AE-49C2-A2F5-A53338E80526}">
  <ds:schemaRefs/>
</ds:datastoreItem>
</file>

<file path=customXml/itemProps3.xml><?xml version="1.0" encoding="utf-8"?>
<ds:datastoreItem xmlns:ds="http://schemas.openxmlformats.org/officeDocument/2006/customXml" ds:itemID="{1E95FF1A-6DF2-4AF7-80F4-7AAB45D60E7E}">
  <ds:schemaRefs/>
</ds:datastoreItem>
</file>

<file path=customXml/itemProps4.xml><?xml version="1.0" encoding="utf-8"?>
<ds:datastoreItem xmlns:ds="http://schemas.openxmlformats.org/officeDocument/2006/customXml" ds:itemID="{5B14DA3C-3E82-4A10-98D9-20CE56A6C927}">
  <ds:schemaRefs/>
</ds:datastoreItem>
</file>

<file path=customXml/itemProps5.xml><?xml version="1.0" encoding="utf-8"?>
<ds:datastoreItem xmlns:ds="http://schemas.openxmlformats.org/officeDocument/2006/customXml" ds:itemID="{7511844A-9D94-40B5-B7A1-A11AB82C1276}">
  <ds:schemaRefs/>
</ds:datastoreItem>
</file>

<file path=customXml/itemProps6.xml><?xml version="1.0" encoding="utf-8"?>
<ds:datastoreItem xmlns:ds="http://schemas.openxmlformats.org/officeDocument/2006/customXml" ds:itemID="{3C791F2B-381C-49DE-BDDE-B9ECEFC71C9F}">
  <ds:schemaRefs/>
</ds:datastoreItem>
</file>

<file path=customXml/itemProps7.xml><?xml version="1.0" encoding="utf-8"?>
<ds:datastoreItem xmlns:ds="http://schemas.openxmlformats.org/officeDocument/2006/customXml" ds:itemID="{B371B53A-C0C5-4196-B1EC-8B6FF7177565}">
  <ds:schemaRefs/>
</ds:datastoreItem>
</file>

<file path=customXml/itemProps8.xml><?xml version="1.0" encoding="utf-8"?>
<ds:datastoreItem xmlns:ds="http://schemas.openxmlformats.org/officeDocument/2006/customXml" ds:itemID="{3E22C2A7-3C1E-4D27-ADCC-024C095BC8E4}">
  <ds:schemaRefs/>
</ds:datastoreItem>
</file>

<file path=customXml/itemProps9.xml><?xml version="1.0" encoding="utf-8"?>
<ds:datastoreItem xmlns:ds="http://schemas.openxmlformats.org/officeDocument/2006/customXml" ds:itemID="{B1776C03-0DA3-4BDF-9BB2-C3455EA0600B}">
  <ds:schemaRefs/>
</ds:datastoreItem>
</file>

<file path=customXml/itemProps10.xml><?xml version="1.0" encoding="utf-8"?>
<ds:datastoreItem xmlns:ds="http://schemas.openxmlformats.org/officeDocument/2006/customXml" ds:itemID="{8F6C6D4A-5CB3-450D-A5D8-39CB76DA4022}">
  <ds:schemaRefs/>
</ds:datastoreItem>
</file>

<file path=customXml/itemProps11.xml><?xml version="1.0" encoding="utf-8"?>
<ds:datastoreItem xmlns:ds="http://schemas.openxmlformats.org/officeDocument/2006/customXml" ds:itemID="{D8707D84-5A14-4FE4-9277-E36E7C93B489}">
  <ds:schemaRefs/>
</ds:datastoreItem>
</file>

<file path=customXml/itemProps12.xml><?xml version="1.0" encoding="utf-8"?>
<ds:datastoreItem xmlns:ds="http://schemas.openxmlformats.org/officeDocument/2006/customXml" ds:itemID="{01C432A7-5D13-418E-921C-AF77815C23D2}">
  <ds:schemaRefs/>
</ds:datastoreItem>
</file>

<file path=customXml/itemProps13.xml><?xml version="1.0" encoding="utf-8"?>
<ds:datastoreItem xmlns:ds="http://schemas.openxmlformats.org/officeDocument/2006/customXml" ds:itemID="{2489C148-7E37-4D88-9108-92AB30DA24C1}">
  <ds:schemaRefs/>
</ds:datastoreItem>
</file>

<file path=customXml/itemProps14.xml><?xml version="1.0" encoding="utf-8"?>
<ds:datastoreItem xmlns:ds="http://schemas.openxmlformats.org/officeDocument/2006/customXml" ds:itemID="{FB4F3B1A-251E-43AD-BEE3-C166AB14ABDB}">
  <ds:schemaRefs/>
</ds:datastoreItem>
</file>

<file path=customXml/itemProps15.xml><?xml version="1.0" encoding="utf-8"?>
<ds:datastoreItem xmlns:ds="http://schemas.openxmlformats.org/officeDocument/2006/customXml" ds:itemID="{8A1EAE3E-050A-4CD7-9901-A28A461587B6}">
  <ds:schemaRefs/>
</ds:datastoreItem>
</file>

<file path=customXml/itemProps16.xml><?xml version="1.0" encoding="utf-8"?>
<ds:datastoreItem xmlns:ds="http://schemas.openxmlformats.org/officeDocument/2006/customXml" ds:itemID="{487D9B20-6DA0-4973-91EB-65C3BD8725B6}">
  <ds:schemaRefs/>
</ds:datastoreItem>
</file>

<file path=customXml/itemProps17.xml><?xml version="1.0" encoding="utf-8"?>
<ds:datastoreItem xmlns:ds="http://schemas.openxmlformats.org/officeDocument/2006/customXml" ds:itemID="{2E1D9C9B-9C75-4C11-8E73-5BFD6A3A81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CLEAN_DATA</vt:lpstr>
      <vt:lpstr>reveue_fact</vt:lpstr>
      <vt:lpstr>payment_dim</vt:lpstr>
      <vt:lpstr>state_dim</vt:lpstr>
      <vt:lpstr>dept_dim</vt:lpstr>
      <vt:lpstr>client_dim</vt:lpstr>
      <vt:lpstr>Dirty Data</vt:lpstr>
      <vt:lpstr>REVENUE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2026-02-13T07:44:24Z</dcterms:modified>
</cp:coreProperties>
</file>